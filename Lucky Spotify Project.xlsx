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Internshala\Excel\Project\"/>
    </mc:Choice>
  </mc:AlternateContent>
  <xr:revisionPtr revIDLastSave="0" documentId="13_ncr:1_{8C8D3362-D673-4617-8381-71F4CFB2566E}" xr6:coauthVersionLast="47" xr6:coauthVersionMax="47" xr10:uidLastSave="{00000000-0000-0000-0000-000000000000}"/>
  <bookViews>
    <workbookView xWindow="-108" yWindow="-108" windowWidth="23256" windowHeight="12576" tabRatio="918" firstSheet="1" activeTab="1" xr2:uid="{B28BE673-A1A7-44E8-85F5-6CC2E4C269D4}"/>
  </bookViews>
  <sheets>
    <sheet name="(RAW)Posts" sheetId="10" r:id="rId1"/>
    <sheet name="(RAW)Engagement Summary" sheetId="11" r:id="rId2"/>
    <sheet name="(RAW)Campaign Metadata" sheetId="12" r:id="rId3"/>
    <sheet name="Task 1" sheetId="2" r:id="rId4"/>
    <sheet name="Task 1.1" sheetId="3" r:id="rId5"/>
    <sheet name="Task 1.2" sheetId="4" r:id="rId6"/>
    <sheet name="Task 2" sheetId="1" r:id="rId7"/>
    <sheet name="Task 3" sheetId="8" r:id="rId8"/>
    <sheet name="Task 4" sheetId="9" r:id="rId9"/>
    <sheet name="Task 5" sheetId="21" r:id="rId10"/>
    <sheet name="Task 6" sheetId="23" r:id="rId11"/>
  </sheets>
  <definedNames>
    <definedName name="_xlnm._FilterDatabase" localSheetId="6" hidden="1">'Task 2'!$F$19:$H$27</definedName>
    <definedName name="_xlcn.WorksheetConnection_Book1.xlsxEngagement_Summary1" hidden="1">Engagement_Summary[]</definedName>
    <definedName name="_xlcn.WorksheetConnection_Book1.xlsxPosts1" hidden="1">Posts[]</definedName>
    <definedName name="ExternalData_1" localSheetId="3" hidden="1">'Task 1'!$A$1:$N$300</definedName>
    <definedName name="ExternalData_2" localSheetId="4" hidden="1">'Task 1.1'!$A$1:$G$201</definedName>
    <definedName name="ExternalData_3" localSheetId="5" hidden="1">'Task 1.2'!#REF!</definedName>
    <definedName name="Slicer_Platform">#N/A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 name="Posts" connection="WorksheetConnection_Book1.xlsx!Posts"/>
          <x15:modelTable id="Engagement_Summary" name="Engagement_Summary" connection="WorksheetConnection_Book1.xlsx!Engagement_Summ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 l="1"/>
  <c r="O3" i="2"/>
  <c r="O4" i="2"/>
  <c r="O5" i="2"/>
  <c r="O6" i="2"/>
  <c r="O7" i="2"/>
  <c r="O8" i="2"/>
  <c r="O9" i="2"/>
  <c r="Q39" i="2" s="1"/>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P191" i="2" s="1"/>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P257" i="2" s="1"/>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P298" i="2" s="1"/>
  <c r="O299" i="2"/>
  <c r="O300" i="2"/>
  <c r="P299" i="2"/>
  <c r="P300" i="2"/>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I2" i="3"/>
  <c r="I3" i="3"/>
  <c r="I4" i="3"/>
  <c r="I5" i="3"/>
  <c r="I6" i="3"/>
  <c r="I7" i="3"/>
  <c r="I8" i="3"/>
  <c r="I9" i="3"/>
  <c r="I10" i="3"/>
  <c r="I11" i="3"/>
  <c r="I12" i="3"/>
  <c r="I13" i="3"/>
  <c r="J9" i="3" s="1"/>
  <c r="I14" i="3"/>
  <c r="I15" i="3"/>
  <c r="I16" i="3"/>
  <c r="I17" i="3"/>
  <c r="I18" i="3"/>
  <c r="I19" i="3"/>
  <c r="I20" i="3"/>
  <c r="I21" i="3"/>
  <c r="J20" i="3" s="1"/>
  <c r="I22" i="3"/>
  <c r="I23" i="3"/>
  <c r="I24" i="3"/>
  <c r="I25" i="3"/>
  <c r="I26" i="3"/>
  <c r="I27" i="3"/>
  <c r="I28" i="3"/>
  <c r="I29" i="3"/>
  <c r="I30" i="3"/>
  <c r="I31" i="3"/>
  <c r="I32" i="3"/>
  <c r="I33" i="3"/>
  <c r="I34" i="3"/>
  <c r="I35" i="3"/>
  <c r="I36" i="3"/>
  <c r="I37" i="3"/>
  <c r="J33" i="3" s="1"/>
  <c r="I38" i="3"/>
  <c r="I39" i="3"/>
  <c r="I40" i="3"/>
  <c r="I41" i="3"/>
  <c r="I42" i="3"/>
  <c r="I43" i="3"/>
  <c r="I44" i="3"/>
  <c r="I45" i="3"/>
  <c r="J38" i="3" s="1"/>
  <c r="I46" i="3"/>
  <c r="I47" i="3"/>
  <c r="I48" i="3"/>
  <c r="I49" i="3"/>
  <c r="I50" i="3"/>
  <c r="I51" i="3"/>
  <c r="I52" i="3"/>
  <c r="I53" i="3"/>
  <c r="J46" i="3" s="1"/>
  <c r="I54" i="3"/>
  <c r="I55" i="3"/>
  <c r="I56" i="3"/>
  <c r="I57" i="3"/>
  <c r="I58" i="3"/>
  <c r="I59" i="3"/>
  <c r="I60" i="3"/>
  <c r="I61" i="3"/>
  <c r="J54" i="3" s="1"/>
  <c r="I62" i="3"/>
  <c r="I63" i="3"/>
  <c r="I64" i="3"/>
  <c r="I65" i="3"/>
  <c r="I66" i="3"/>
  <c r="I67" i="3"/>
  <c r="I68" i="3"/>
  <c r="I69" i="3"/>
  <c r="J65" i="3" s="1"/>
  <c r="I70" i="3"/>
  <c r="I71" i="3"/>
  <c r="I72" i="3"/>
  <c r="I73" i="3"/>
  <c r="I74" i="3"/>
  <c r="I75" i="3"/>
  <c r="I76" i="3"/>
  <c r="I77" i="3"/>
  <c r="J70" i="3" s="1"/>
  <c r="I78" i="3"/>
  <c r="I79" i="3"/>
  <c r="I80" i="3"/>
  <c r="I81" i="3"/>
  <c r="I82" i="3"/>
  <c r="I83" i="3"/>
  <c r="I84" i="3"/>
  <c r="I85" i="3"/>
  <c r="I86" i="3"/>
  <c r="I87" i="3"/>
  <c r="I88" i="3"/>
  <c r="I89" i="3"/>
  <c r="I90" i="3"/>
  <c r="I91" i="3"/>
  <c r="I92" i="3"/>
  <c r="I93" i="3"/>
  <c r="J86" i="3" s="1"/>
  <c r="I94" i="3"/>
  <c r="I95" i="3"/>
  <c r="I96" i="3"/>
  <c r="I97" i="3"/>
  <c r="I98" i="3"/>
  <c r="I99" i="3"/>
  <c r="I100" i="3"/>
  <c r="I101" i="3"/>
  <c r="J94" i="3" s="1"/>
  <c r="I102" i="3"/>
  <c r="I103" i="3"/>
  <c r="I104" i="3"/>
  <c r="I105" i="3"/>
  <c r="I106" i="3"/>
  <c r="I107" i="3"/>
  <c r="I108" i="3"/>
  <c r="I109" i="3"/>
  <c r="J102" i="3" s="1"/>
  <c r="I110" i="3"/>
  <c r="I111" i="3"/>
  <c r="I112" i="3"/>
  <c r="I113" i="3"/>
  <c r="I114" i="3"/>
  <c r="I115" i="3"/>
  <c r="I116" i="3"/>
  <c r="I117" i="3"/>
  <c r="I118" i="3"/>
  <c r="I119" i="3"/>
  <c r="I120" i="3"/>
  <c r="I121" i="3"/>
  <c r="I122" i="3"/>
  <c r="I123" i="3"/>
  <c r="I124" i="3"/>
  <c r="I125" i="3"/>
  <c r="J118" i="3" s="1"/>
  <c r="I126" i="3"/>
  <c r="I127" i="3"/>
  <c r="I128" i="3"/>
  <c r="I129" i="3"/>
  <c r="I130" i="3"/>
  <c r="I131" i="3"/>
  <c r="I132" i="3"/>
  <c r="I133" i="3"/>
  <c r="I134" i="3"/>
  <c r="I135" i="3"/>
  <c r="I136" i="3"/>
  <c r="I137" i="3"/>
  <c r="I138" i="3"/>
  <c r="I139" i="3"/>
  <c r="I140" i="3"/>
  <c r="I141" i="3"/>
  <c r="J140" i="3" s="1"/>
  <c r="I142" i="3"/>
  <c r="I143" i="3"/>
  <c r="I144" i="3"/>
  <c r="I145" i="3"/>
  <c r="I146" i="3"/>
  <c r="I147" i="3"/>
  <c r="I148" i="3"/>
  <c r="I149" i="3"/>
  <c r="I150" i="3"/>
  <c r="I151" i="3"/>
  <c r="I152" i="3"/>
  <c r="I153" i="3"/>
  <c r="I154" i="3"/>
  <c r="I155" i="3"/>
  <c r="I156" i="3"/>
  <c r="I157" i="3"/>
  <c r="J150" i="3" s="1"/>
  <c r="I158" i="3"/>
  <c r="I159" i="3"/>
  <c r="I160" i="3"/>
  <c r="I161" i="3"/>
  <c r="I162" i="3"/>
  <c r="I163" i="3"/>
  <c r="I164" i="3"/>
  <c r="I165" i="3"/>
  <c r="J158" i="3" s="1"/>
  <c r="I166" i="3"/>
  <c r="I167" i="3"/>
  <c r="I168" i="3"/>
  <c r="I169" i="3"/>
  <c r="I170" i="3"/>
  <c r="I171" i="3"/>
  <c r="I172" i="3"/>
  <c r="I173" i="3"/>
  <c r="J166" i="3" s="1"/>
  <c r="I174" i="3"/>
  <c r="I175" i="3"/>
  <c r="I176" i="3"/>
  <c r="I177" i="3"/>
  <c r="I178" i="3"/>
  <c r="I179" i="3"/>
  <c r="I180" i="3"/>
  <c r="I181" i="3"/>
  <c r="J177" i="3" s="1"/>
  <c r="I182" i="3"/>
  <c r="I183" i="3"/>
  <c r="I184" i="3"/>
  <c r="I185" i="3"/>
  <c r="I186" i="3"/>
  <c r="I187" i="3"/>
  <c r="I188" i="3"/>
  <c r="I189" i="3"/>
  <c r="J189" i="3" s="1"/>
  <c r="I190" i="3"/>
  <c r="I191" i="3"/>
  <c r="I192" i="3"/>
  <c r="I193" i="3"/>
  <c r="I194" i="3"/>
  <c r="I195" i="3"/>
  <c r="I196" i="3"/>
  <c r="I197" i="3"/>
  <c r="J197" i="3" s="1"/>
  <c r="I198" i="3"/>
  <c r="I199" i="3"/>
  <c r="I200" i="3"/>
  <c r="I201" i="3"/>
  <c r="J19" i="3"/>
  <c r="J22" i="3"/>
  <c r="J36" i="3"/>
  <c r="J41" i="3"/>
  <c r="J52" i="3"/>
  <c r="J57" i="3"/>
  <c r="J68" i="3"/>
  <c r="J73" i="3"/>
  <c r="J84" i="3"/>
  <c r="J89" i="3"/>
  <c r="J100" i="3"/>
  <c r="J105" i="3"/>
  <c r="J116" i="3"/>
  <c r="J121" i="3"/>
  <c r="J132" i="3"/>
  <c r="J137" i="3"/>
  <c r="J148" i="3"/>
  <c r="J153" i="3"/>
  <c r="J164" i="3"/>
  <c r="J169" i="3"/>
  <c r="J180" i="3"/>
  <c r="J185" i="3"/>
  <c r="J196" i="3"/>
  <c r="J198" i="3"/>
  <c r="J201" i="3"/>
  <c r="H21" i="1"/>
  <c r="H22" i="1"/>
  <c r="H23" i="1"/>
  <c r="H24" i="1"/>
  <c r="H25" i="1"/>
  <c r="H26" i="1"/>
  <c r="H27" i="1"/>
  <c r="H20" i="1"/>
  <c r="Q68" i="2" l="1"/>
  <c r="P219" i="2"/>
  <c r="P117" i="2"/>
  <c r="P79" i="2"/>
  <c r="P29" i="2"/>
  <c r="Q28" i="2"/>
  <c r="Q230" i="2"/>
  <c r="Q200" i="2"/>
  <c r="Q14" i="2"/>
  <c r="Q218" i="2"/>
  <c r="Q17" i="2"/>
  <c r="Q273" i="2"/>
  <c r="Q194" i="2"/>
  <c r="Q36" i="2"/>
  <c r="Q175" i="2"/>
  <c r="Q153" i="2"/>
  <c r="Q267" i="2"/>
  <c r="Q182" i="2"/>
  <c r="Q160" i="2"/>
  <c r="Q211" i="2"/>
  <c r="Q266" i="2"/>
  <c r="Q174" i="2"/>
  <c r="Q67" i="2"/>
  <c r="Q255" i="2"/>
  <c r="Q249" i="2"/>
  <c r="Q152" i="2"/>
  <c r="Q38" i="2"/>
  <c r="Q212" i="2"/>
  <c r="Q248" i="2"/>
  <c r="Q123" i="2"/>
  <c r="R300" i="2"/>
  <c r="R298" i="2"/>
  <c r="Q91" i="2"/>
  <c r="Q231" i="2"/>
  <c r="Q99" i="2"/>
  <c r="R299" i="2"/>
  <c r="P291" i="2"/>
  <c r="R291" i="2" s="1"/>
  <c r="P258" i="2"/>
  <c r="P193" i="2"/>
  <c r="P154" i="2"/>
  <c r="P127" i="2"/>
  <c r="P33" i="2"/>
  <c r="J182" i="3"/>
  <c r="J134" i="3"/>
  <c r="J14" i="3"/>
  <c r="J6" i="3"/>
  <c r="J173" i="3"/>
  <c r="J149" i="3"/>
  <c r="J133" i="3"/>
  <c r="J117" i="3"/>
  <c r="J85" i="3"/>
  <c r="J77" i="3"/>
  <c r="J61" i="3"/>
  <c r="J45" i="3"/>
  <c r="J25" i="3"/>
  <c r="J29" i="3"/>
  <c r="J17" i="3"/>
  <c r="J21" i="3"/>
  <c r="J3" i="3"/>
  <c r="J4" i="3"/>
  <c r="J2" i="3"/>
  <c r="J5" i="3"/>
  <c r="J195" i="3"/>
  <c r="J179" i="3"/>
  <c r="J163" i="3"/>
  <c r="J147" i="3"/>
  <c r="J131" i="3"/>
  <c r="J115" i="3"/>
  <c r="J99" i="3"/>
  <c r="J83" i="3"/>
  <c r="J67" i="3"/>
  <c r="J51" i="3"/>
  <c r="J35" i="3"/>
  <c r="J13" i="3"/>
  <c r="P292" i="2"/>
  <c r="P155" i="2"/>
  <c r="J193" i="3"/>
  <c r="J161" i="3"/>
  <c r="J145" i="3"/>
  <c r="J129" i="3"/>
  <c r="J113" i="3"/>
  <c r="J97" i="3"/>
  <c r="J81" i="3"/>
  <c r="J49" i="3"/>
  <c r="J181" i="3"/>
  <c r="J125" i="3"/>
  <c r="J93" i="3"/>
  <c r="J69" i="3"/>
  <c r="J37" i="3"/>
  <c r="J11" i="3"/>
  <c r="J12" i="3"/>
  <c r="J190" i="3"/>
  <c r="J174" i="3"/>
  <c r="J142" i="3"/>
  <c r="J126" i="3"/>
  <c r="J110" i="3"/>
  <c r="J78" i="3"/>
  <c r="J62" i="3"/>
  <c r="J30" i="3"/>
  <c r="J8" i="3"/>
  <c r="J194" i="3"/>
  <c r="J186" i="3"/>
  <c r="J178" i="3"/>
  <c r="J170" i="3"/>
  <c r="J162" i="3"/>
  <c r="J154" i="3"/>
  <c r="J146" i="3"/>
  <c r="J138" i="3"/>
  <c r="J130" i="3"/>
  <c r="J122" i="3"/>
  <c r="J114" i="3"/>
  <c r="J106" i="3"/>
  <c r="J98" i="3"/>
  <c r="J90" i="3"/>
  <c r="J82" i="3"/>
  <c r="J74" i="3"/>
  <c r="J66" i="3"/>
  <c r="J58" i="3"/>
  <c r="J50" i="3"/>
  <c r="J42" i="3"/>
  <c r="J34" i="3"/>
  <c r="J26" i="3"/>
  <c r="J18" i="3"/>
  <c r="J10" i="3"/>
  <c r="J157" i="3"/>
  <c r="J109" i="3"/>
  <c r="J172" i="3"/>
  <c r="J108" i="3"/>
  <c r="J76" i="3"/>
  <c r="J44" i="3"/>
  <c r="P287" i="2"/>
  <c r="P289" i="2"/>
  <c r="R289" i="2" s="1"/>
  <c r="P282" i="2"/>
  <c r="P283" i="2"/>
  <c r="R283" i="2" s="1"/>
  <c r="P273" i="2"/>
  <c r="P271" i="2"/>
  <c r="P267" i="2"/>
  <c r="R267" i="2" s="1"/>
  <c r="P270" i="2"/>
  <c r="P250" i="2"/>
  <c r="P251" i="2"/>
  <c r="P255" i="2"/>
  <c r="P238" i="2"/>
  <c r="P239" i="2"/>
  <c r="P241" i="2"/>
  <c r="P225" i="2"/>
  <c r="P218" i="2"/>
  <c r="P209" i="2"/>
  <c r="P206" i="2"/>
  <c r="P207" i="2"/>
  <c r="P203" i="2"/>
  <c r="P199" i="2"/>
  <c r="P201" i="2"/>
  <c r="P194" i="2"/>
  <c r="R194" i="2" s="1"/>
  <c r="P186" i="2"/>
  <c r="P187" i="2"/>
  <c r="P185" i="2"/>
  <c r="P179" i="2"/>
  <c r="P178" i="2"/>
  <c r="P182" i="2"/>
  <c r="R182" i="2" s="1"/>
  <c r="P162" i="2"/>
  <c r="P169" i="2"/>
  <c r="P166" i="2"/>
  <c r="P167" i="2"/>
  <c r="P161" i="2"/>
  <c r="P147" i="2"/>
  <c r="P150" i="2"/>
  <c r="P153" i="2"/>
  <c r="P145" i="2"/>
  <c r="P139" i="2"/>
  <c r="P142" i="2"/>
  <c r="P143" i="2"/>
  <c r="P135" i="2"/>
  <c r="P137" i="2"/>
  <c r="P130" i="2"/>
  <c r="P122" i="2"/>
  <c r="P129" i="2"/>
  <c r="P120" i="2"/>
  <c r="P121" i="2"/>
  <c r="P108" i="2"/>
  <c r="P109" i="2"/>
  <c r="P112" i="2"/>
  <c r="P113" i="2"/>
  <c r="P105" i="2"/>
  <c r="P98" i="2"/>
  <c r="P101" i="2"/>
  <c r="P90" i="2"/>
  <c r="P92" i="2"/>
  <c r="P97" i="2"/>
  <c r="P89" i="2"/>
  <c r="P82" i="2"/>
  <c r="P76" i="2"/>
  <c r="P73" i="2"/>
  <c r="P71" i="2"/>
  <c r="P66" i="2"/>
  <c r="P58" i="2"/>
  <c r="P61" i="2"/>
  <c r="P65" i="2"/>
  <c r="P57" i="2"/>
  <c r="P55" i="2"/>
  <c r="P49" i="2"/>
  <c r="P45" i="2"/>
  <c r="P47" i="2"/>
  <c r="P41" i="2"/>
  <c r="P38" i="2"/>
  <c r="R38" i="2" s="1"/>
  <c r="P39" i="2"/>
  <c r="R39" i="2" s="1"/>
  <c r="P28" i="2"/>
  <c r="P25" i="2"/>
  <c r="P22" i="2"/>
  <c r="P23" i="2"/>
  <c r="P17" i="2"/>
  <c r="P12" i="2"/>
  <c r="P13" i="2"/>
  <c r="P15" i="2"/>
  <c r="P9" i="2"/>
  <c r="Q49" i="2"/>
  <c r="Q60" i="2"/>
  <c r="Q71" i="2"/>
  <c r="Q81" i="2"/>
  <c r="Q92" i="2"/>
  <c r="R92" i="2" s="1"/>
  <c r="Q103" i="2"/>
  <c r="Q113" i="2"/>
  <c r="Q124" i="2"/>
  <c r="Q135" i="2"/>
  <c r="Q145" i="2"/>
  <c r="Q156" i="2"/>
  <c r="Q167" i="2"/>
  <c r="Q177" i="2"/>
  <c r="Q187" i="2"/>
  <c r="R187" i="2" s="1"/>
  <c r="Q196" i="2"/>
  <c r="Q206" i="2"/>
  <c r="Q215" i="2"/>
  <c r="Q224" i="2"/>
  <c r="Q233" i="2"/>
  <c r="Q242" i="2"/>
  <c r="Q251" i="2"/>
  <c r="Q260" i="2"/>
  <c r="Q270" i="2"/>
  <c r="Q279" i="2"/>
  <c r="Q51" i="2"/>
  <c r="Q62" i="2"/>
  <c r="Q72" i="2"/>
  <c r="Q83" i="2"/>
  <c r="Q94" i="2"/>
  <c r="Q104" i="2"/>
  <c r="Q115" i="2"/>
  <c r="Q126" i="2"/>
  <c r="Q136" i="2"/>
  <c r="Q147" i="2"/>
  <c r="Q158" i="2"/>
  <c r="Q168" i="2"/>
  <c r="Q179" i="2"/>
  <c r="Q188" i="2"/>
  <c r="Q198" i="2"/>
  <c r="Q207" i="2"/>
  <c r="Q216" i="2"/>
  <c r="Q225" i="2"/>
  <c r="Q234" i="2"/>
  <c r="Q243" i="2"/>
  <c r="Q252" i="2"/>
  <c r="Q262" i="2"/>
  <c r="Q271" i="2"/>
  <c r="Q280" i="2"/>
  <c r="P5" i="2"/>
  <c r="Q9" i="2"/>
  <c r="Q20" i="2"/>
  <c r="Q31" i="2"/>
  <c r="Q41" i="2"/>
  <c r="Q52" i="2"/>
  <c r="Q63" i="2"/>
  <c r="Q73" i="2"/>
  <c r="Q84" i="2"/>
  <c r="Q95" i="2"/>
  <c r="Q105" i="2"/>
  <c r="Q116" i="2"/>
  <c r="Q127" i="2"/>
  <c r="R127" i="2" s="1"/>
  <c r="Q137" i="2"/>
  <c r="Q148" i="2"/>
  <c r="Q159" i="2"/>
  <c r="Q169" i="2"/>
  <c r="Q180" i="2"/>
  <c r="Q190" i="2"/>
  <c r="Q199" i="2"/>
  <c r="Q208" i="2"/>
  <c r="Q217" i="2"/>
  <c r="Q226" i="2"/>
  <c r="Q235" i="2"/>
  <c r="Q244" i="2"/>
  <c r="Q254" i="2"/>
  <c r="Q263" i="2"/>
  <c r="Q272" i="2"/>
  <c r="Q281" i="2"/>
  <c r="P6" i="2"/>
  <c r="Q11" i="2"/>
  <c r="Q22" i="2"/>
  <c r="Q32" i="2"/>
  <c r="Q43" i="2"/>
  <c r="Q54" i="2"/>
  <c r="Q64" i="2"/>
  <c r="Q75" i="2"/>
  <c r="Q86" i="2"/>
  <c r="Q96" i="2"/>
  <c r="Q107" i="2"/>
  <c r="Q118" i="2"/>
  <c r="Q128" i="2"/>
  <c r="Q139" i="2"/>
  <c r="Q150" i="2"/>
  <c r="Q44" i="2"/>
  <c r="Q55" i="2"/>
  <c r="Q65" i="2"/>
  <c r="Q76" i="2"/>
  <c r="Q87" i="2"/>
  <c r="Q97" i="2"/>
  <c r="Q108" i="2"/>
  <c r="Q119" i="2"/>
  <c r="Q129" i="2"/>
  <c r="Q140" i="2"/>
  <c r="Q151" i="2"/>
  <c r="Q161" i="2"/>
  <c r="Q172" i="2"/>
  <c r="Q183" i="2"/>
  <c r="Q192" i="2"/>
  <c r="Q201" i="2"/>
  <c r="Q210" i="2"/>
  <c r="Q219" i="2"/>
  <c r="Q228" i="2"/>
  <c r="Q238" i="2"/>
  <c r="Q247" i="2"/>
  <c r="Q256" i="2"/>
  <c r="Q265" i="2"/>
  <c r="Q274" i="2"/>
  <c r="R292" i="2"/>
  <c r="Q24" i="2"/>
  <c r="Q48" i="2"/>
  <c r="Q79" i="2"/>
  <c r="R79" i="2" s="1"/>
  <c r="Q110" i="2"/>
  <c r="Q134" i="2"/>
  <c r="Q163" i="2"/>
  <c r="Q184" i="2"/>
  <c r="Q202" i="2"/>
  <c r="Q220" i="2"/>
  <c r="Q239" i="2"/>
  <c r="Q257" i="2"/>
  <c r="R257" i="2" s="1"/>
  <c r="Q275" i="2"/>
  <c r="Q57" i="2"/>
  <c r="Q143" i="2"/>
  <c r="Q204" i="2"/>
  <c r="Q259" i="2"/>
  <c r="Q25" i="2"/>
  <c r="Q56" i="2"/>
  <c r="Q80" i="2"/>
  <c r="Q111" i="2"/>
  <c r="Q142" i="2"/>
  <c r="Q164" i="2"/>
  <c r="Q185" i="2"/>
  <c r="Q203" i="2"/>
  <c r="Q222" i="2"/>
  <c r="Q240" i="2"/>
  <c r="Q258" i="2"/>
  <c r="Q276" i="2"/>
  <c r="Q112" i="2"/>
  <c r="Q186" i="2"/>
  <c r="Q241" i="2"/>
  <c r="Q3" i="2"/>
  <c r="Q27" i="2"/>
  <c r="Q88" i="2"/>
  <c r="Q166" i="2"/>
  <c r="Q223" i="2"/>
  <c r="Q278" i="2"/>
  <c r="Q4" i="2"/>
  <c r="Q35" i="2"/>
  <c r="Q59" i="2"/>
  <c r="Q89" i="2"/>
  <c r="Q120" i="2"/>
  <c r="Q144" i="2"/>
  <c r="Q171" i="2"/>
  <c r="Q191" i="2"/>
  <c r="R191" i="2" s="1"/>
  <c r="Q209" i="2"/>
  <c r="Q227" i="2"/>
  <c r="Q246" i="2"/>
  <c r="Q264" i="2"/>
  <c r="Q282" i="2"/>
  <c r="Q15" i="2"/>
  <c r="Q46" i="2"/>
  <c r="Q70" i="2"/>
  <c r="Q100" i="2"/>
  <c r="Q131" i="2"/>
  <c r="Q155" i="2"/>
  <c r="Q176" i="2"/>
  <c r="Q195" i="2"/>
  <c r="Q214" i="2"/>
  <c r="Q232" i="2"/>
  <c r="Q250" i="2"/>
  <c r="Q268" i="2"/>
  <c r="R287" i="2"/>
  <c r="Q16" i="2"/>
  <c r="Q47" i="2"/>
  <c r="Q78" i="2"/>
  <c r="Q102" i="2"/>
  <c r="Q132" i="2"/>
  <c r="J165" i="3"/>
  <c r="J141" i="3"/>
  <c r="J101" i="3"/>
  <c r="J53" i="3"/>
  <c r="J188" i="3"/>
  <c r="J156" i="3"/>
  <c r="J124" i="3"/>
  <c r="J92" i="3"/>
  <c r="J60" i="3"/>
  <c r="J28" i="3"/>
  <c r="P297" i="2"/>
  <c r="R297" i="2" s="1"/>
  <c r="P294" i="2"/>
  <c r="P275" i="2"/>
  <c r="P278" i="2"/>
  <c r="P281" i="2"/>
  <c r="P263" i="2"/>
  <c r="P265" i="2"/>
  <c r="P249" i="2"/>
  <c r="R249" i="2" s="1"/>
  <c r="P242" i="2"/>
  <c r="P243" i="2"/>
  <c r="P246" i="2"/>
  <c r="P226" i="2"/>
  <c r="P231" i="2"/>
  <c r="R231" i="2" s="1"/>
  <c r="P233" i="2"/>
  <c r="P211" i="2"/>
  <c r="P214" i="2"/>
  <c r="P217" i="2"/>
  <c r="P174" i="2"/>
  <c r="R174" i="2" s="1"/>
  <c r="P175" i="2"/>
  <c r="P177" i="2"/>
  <c r="J187" i="3"/>
  <c r="J171" i="3"/>
  <c r="J155" i="3"/>
  <c r="J139" i="3"/>
  <c r="J123" i="3"/>
  <c r="J107" i="3"/>
  <c r="J91" i="3"/>
  <c r="J75" i="3"/>
  <c r="J59" i="3"/>
  <c r="J43" i="3"/>
  <c r="J27" i="3"/>
  <c r="J199" i="3"/>
  <c r="J200" i="3"/>
  <c r="J191" i="3"/>
  <c r="J192" i="3"/>
  <c r="J183" i="3"/>
  <c r="J184" i="3"/>
  <c r="J175" i="3"/>
  <c r="J176" i="3"/>
  <c r="J167" i="3"/>
  <c r="J168" i="3"/>
  <c r="J159" i="3"/>
  <c r="J160" i="3"/>
  <c r="J151" i="3"/>
  <c r="J152" i="3"/>
  <c r="J143" i="3"/>
  <c r="J144" i="3"/>
  <c r="J135" i="3"/>
  <c r="J136" i="3"/>
  <c r="J127" i="3"/>
  <c r="J128" i="3"/>
  <c r="J119" i="3"/>
  <c r="J120" i="3"/>
  <c r="J111" i="3"/>
  <c r="J112" i="3"/>
  <c r="J103" i="3"/>
  <c r="J104" i="3"/>
  <c r="J95" i="3"/>
  <c r="J96" i="3"/>
  <c r="J87" i="3"/>
  <c r="J88" i="3"/>
  <c r="J79" i="3"/>
  <c r="J80" i="3"/>
  <c r="J71" i="3"/>
  <c r="J72" i="3"/>
  <c r="J63" i="3"/>
  <c r="J64" i="3"/>
  <c r="J55" i="3"/>
  <c r="J56" i="3"/>
  <c r="J47" i="3"/>
  <c r="J48" i="3"/>
  <c r="J39" i="3"/>
  <c r="J40" i="3"/>
  <c r="J31" i="3"/>
  <c r="J32" i="3"/>
  <c r="J23" i="3"/>
  <c r="J24" i="3"/>
  <c r="J15" i="3"/>
  <c r="J16" i="3"/>
  <c r="J7" i="3"/>
  <c r="Q236" i="2"/>
  <c r="Q193" i="2"/>
  <c r="Q121" i="2"/>
  <c r="Q6" i="2"/>
  <c r="P230" i="2"/>
  <c r="P81" i="2"/>
  <c r="P295" i="2"/>
  <c r="R295" i="2" s="1"/>
  <c r="P284" i="2"/>
  <c r="R284" i="2" s="1"/>
  <c r="P274" i="2"/>
  <c r="P266" i="2"/>
  <c r="R266" i="2" s="1"/>
  <c r="P259" i="2"/>
  <c r="P254" i="2"/>
  <c r="P247" i="2"/>
  <c r="P234" i="2"/>
  <c r="P227" i="2"/>
  <c r="P222" i="2"/>
  <c r="P210" i="2"/>
  <c r="P202" i="2"/>
  <c r="P195" i="2"/>
  <c r="P190" i="2"/>
  <c r="P183" i="2"/>
  <c r="P170" i="2"/>
  <c r="P163" i="2"/>
  <c r="P158" i="2"/>
  <c r="P146" i="2"/>
  <c r="P138" i="2"/>
  <c r="P131" i="2"/>
  <c r="P126" i="2"/>
  <c r="P111" i="2"/>
  <c r="P102" i="2"/>
  <c r="P93" i="2"/>
  <c r="P86" i="2"/>
  <c r="P77" i="2"/>
  <c r="P69" i="2"/>
  <c r="P60" i="2"/>
  <c r="P50" i="2"/>
  <c r="P44" i="2"/>
  <c r="P34" i="2"/>
  <c r="P26" i="2"/>
  <c r="P18" i="2"/>
  <c r="Q7" i="2"/>
  <c r="R294" i="2"/>
  <c r="Q33" i="2"/>
  <c r="Q23" i="2"/>
  <c r="Q12" i="2"/>
  <c r="P290" i="2"/>
  <c r="P279" i="2"/>
  <c r="P215" i="2"/>
  <c r="P151" i="2"/>
  <c r="P7" i="2"/>
  <c r="P296" i="2"/>
  <c r="R296" i="2" s="1"/>
  <c r="P288" i="2"/>
  <c r="P280" i="2"/>
  <c r="P272" i="2"/>
  <c r="P264" i="2"/>
  <c r="P256" i="2"/>
  <c r="P248" i="2"/>
  <c r="R248" i="2" s="1"/>
  <c r="P240" i="2"/>
  <c r="P232" i="2"/>
  <c r="P224" i="2"/>
  <c r="P216" i="2"/>
  <c r="P208" i="2"/>
  <c r="P200" i="2"/>
  <c r="R200" i="2" s="1"/>
  <c r="P192" i="2"/>
  <c r="P184" i="2"/>
  <c r="P176" i="2"/>
  <c r="P168" i="2"/>
  <c r="P160" i="2"/>
  <c r="R160" i="2" s="1"/>
  <c r="P152" i="2"/>
  <c r="R152" i="2" s="1"/>
  <c r="P144" i="2"/>
  <c r="P136" i="2"/>
  <c r="P128" i="2"/>
  <c r="P104" i="2"/>
  <c r="P96" i="2"/>
  <c r="P88" i="2"/>
  <c r="P80" i="2"/>
  <c r="P72" i="2"/>
  <c r="P64" i="2"/>
  <c r="P56" i="2"/>
  <c r="P48" i="2"/>
  <c r="P40" i="2"/>
  <c r="P32" i="2"/>
  <c r="P24" i="2"/>
  <c r="P16" i="2"/>
  <c r="P8" i="2"/>
  <c r="P119" i="2"/>
  <c r="P110" i="2"/>
  <c r="P94" i="2"/>
  <c r="P95" i="2"/>
  <c r="P78" i="2"/>
  <c r="P62" i="2"/>
  <c r="P63" i="2"/>
  <c r="P46" i="2"/>
  <c r="P30" i="2"/>
  <c r="P31" i="2"/>
  <c r="P14" i="2"/>
  <c r="R14" i="2" s="1"/>
  <c r="Q40" i="2"/>
  <c r="Q30" i="2"/>
  <c r="Q19" i="2"/>
  <c r="Q8" i="2"/>
  <c r="P286" i="2"/>
  <c r="P262" i="2"/>
  <c r="P235" i="2"/>
  <c r="P223" i="2"/>
  <c r="P198" i="2"/>
  <c r="P171" i="2"/>
  <c r="P159" i="2"/>
  <c r="P134" i="2"/>
  <c r="P103" i="2"/>
  <c r="P87" i="2"/>
  <c r="P70" i="2"/>
  <c r="P54" i="2"/>
  <c r="P37" i="2"/>
  <c r="P2" i="2"/>
  <c r="P293" i="2"/>
  <c r="P285" i="2"/>
  <c r="R285" i="2" s="1"/>
  <c r="P277" i="2"/>
  <c r="P269" i="2"/>
  <c r="P261" i="2"/>
  <c r="P253" i="2"/>
  <c r="P245" i="2"/>
  <c r="P237" i="2"/>
  <c r="P229" i="2"/>
  <c r="P221" i="2"/>
  <c r="P213" i="2"/>
  <c r="P205" i="2"/>
  <c r="P197" i="2"/>
  <c r="P189" i="2"/>
  <c r="P181" i="2"/>
  <c r="P173" i="2"/>
  <c r="P165" i="2"/>
  <c r="P157" i="2"/>
  <c r="P149" i="2"/>
  <c r="P141" i="2"/>
  <c r="P133" i="2"/>
  <c r="P125" i="2"/>
  <c r="P85" i="2"/>
  <c r="P53" i="2"/>
  <c r="P21" i="2"/>
  <c r="P118" i="2"/>
  <c r="P276" i="2"/>
  <c r="P268" i="2"/>
  <c r="P260" i="2"/>
  <c r="P252" i="2"/>
  <c r="P244" i="2"/>
  <c r="P236" i="2"/>
  <c r="P228" i="2"/>
  <c r="P220" i="2"/>
  <c r="P212" i="2"/>
  <c r="P204" i="2"/>
  <c r="P196" i="2"/>
  <c r="P188" i="2"/>
  <c r="P180" i="2"/>
  <c r="P172" i="2"/>
  <c r="P164" i="2"/>
  <c r="P156" i="2"/>
  <c r="P148" i="2"/>
  <c r="P140" i="2"/>
  <c r="P132" i="2"/>
  <c r="P123" i="2"/>
  <c r="R123" i="2" s="1"/>
  <c r="P124" i="2"/>
  <c r="P115" i="2"/>
  <c r="P114" i="2"/>
  <c r="P116" i="2"/>
  <c r="P107" i="2"/>
  <c r="P106" i="2"/>
  <c r="P99" i="2"/>
  <c r="R99" i="2" s="1"/>
  <c r="P100" i="2"/>
  <c r="P91" i="2"/>
  <c r="P83" i="2"/>
  <c r="P84" i="2"/>
  <c r="P75" i="2"/>
  <c r="P74" i="2"/>
  <c r="P67" i="2"/>
  <c r="R67" i="2" s="1"/>
  <c r="P68" i="2"/>
  <c r="R68" i="2" s="1"/>
  <c r="P59" i="2"/>
  <c r="P51" i="2"/>
  <c r="P52" i="2"/>
  <c r="P43" i="2"/>
  <c r="P42" i="2"/>
  <c r="P35" i="2"/>
  <c r="P36" i="2"/>
  <c r="R36" i="2" s="1"/>
  <c r="P27" i="2"/>
  <c r="P19" i="2"/>
  <c r="P20" i="2"/>
  <c r="P11" i="2"/>
  <c r="P10" i="2"/>
  <c r="P3" i="2"/>
  <c r="Q2" i="2"/>
  <c r="Q10" i="2"/>
  <c r="Q18" i="2"/>
  <c r="Q26" i="2"/>
  <c r="Q34" i="2"/>
  <c r="Q42" i="2"/>
  <c r="Q50" i="2"/>
  <c r="Q58" i="2"/>
  <c r="R58" i="2" s="1"/>
  <c r="Q66" i="2"/>
  <c r="Q74" i="2"/>
  <c r="Q82" i="2"/>
  <c r="Q90" i="2"/>
  <c r="Q98" i="2"/>
  <c r="Q106" i="2"/>
  <c r="Q114" i="2"/>
  <c r="Q122" i="2"/>
  <c r="Q130" i="2"/>
  <c r="Q138" i="2"/>
  <c r="Q146" i="2"/>
  <c r="Q154" i="2"/>
  <c r="Q162" i="2"/>
  <c r="Q170" i="2"/>
  <c r="Q178" i="2"/>
  <c r="P4" i="2"/>
  <c r="Q5" i="2"/>
  <c r="Q13" i="2"/>
  <c r="Q21" i="2"/>
  <c r="Q29" i="2"/>
  <c r="Q37" i="2"/>
  <c r="Q45" i="2"/>
  <c r="Q53" i="2"/>
  <c r="Q61" i="2"/>
  <c r="R61" i="2" s="1"/>
  <c r="Q69" i="2"/>
  <c r="Q77" i="2"/>
  <c r="Q85" i="2"/>
  <c r="Q93" i="2"/>
  <c r="Q101" i="2"/>
  <c r="Q109" i="2"/>
  <c r="Q117" i="2"/>
  <c r="R117" i="2" s="1"/>
  <c r="Q125" i="2"/>
  <c r="Q133" i="2"/>
  <c r="Q141" i="2"/>
  <c r="Q149" i="2"/>
  <c r="Q157" i="2"/>
  <c r="Q165" i="2"/>
  <c r="Q173" i="2"/>
  <c r="Q181" i="2"/>
  <c r="Q189" i="2"/>
  <c r="Q197" i="2"/>
  <c r="Q205" i="2"/>
  <c r="Q213" i="2"/>
  <c r="Q221" i="2"/>
  <c r="Q229" i="2"/>
  <c r="Q237" i="2"/>
  <c r="Q245" i="2"/>
  <c r="Q253" i="2"/>
  <c r="Q261" i="2"/>
  <c r="Q269" i="2"/>
  <c r="Q277" i="2"/>
  <c r="R206" i="2" l="1"/>
  <c r="R66" i="2"/>
  <c r="R270" i="2"/>
  <c r="R219" i="2"/>
  <c r="R33" i="2"/>
  <c r="R166" i="2"/>
  <c r="R161" i="2"/>
  <c r="R135" i="2"/>
  <c r="R121" i="2"/>
  <c r="R142" i="2"/>
  <c r="R37" i="2"/>
  <c r="R245" i="2"/>
  <c r="R181" i="2"/>
  <c r="R209" i="2"/>
  <c r="R143" i="2"/>
  <c r="R108" i="2"/>
  <c r="R167" i="2"/>
  <c r="R250" i="2"/>
  <c r="R18" i="2"/>
  <c r="R41" i="2"/>
  <c r="R185" i="2"/>
  <c r="R251" i="2"/>
  <c r="R47" i="2"/>
  <c r="R178" i="2"/>
  <c r="R253" i="2"/>
  <c r="R189" i="2"/>
  <c r="R125" i="2"/>
  <c r="R170" i="2"/>
  <c r="R122" i="2"/>
  <c r="R282" i="2"/>
  <c r="R207" i="2"/>
  <c r="R90" i="2"/>
  <c r="R186" i="2"/>
  <c r="R40" i="2"/>
  <c r="R53" i="2"/>
  <c r="R89" i="2"/>
  <c r="R137" i="2"/>
  <c r="R179" i="2"/>
  <c r="R29" i="2"/>
  <c r="R112" i="2"/>
  <c r="R147" i="2"/>
  <c r="R109" i="2"/>
  <c r="R193" i="2"/>
  <c r="R203" i="2"/>
  <c r="R162" i="2"/>
  <c r="R98" i="2"/>
  <c r="R201" i="2"/>
  <c r="R154" i="2"/>
  <c r="R271" i="2"/>
  <c r="R241" i="2"/>
  <c r="R129" i="2"/>
  <c r="R82" i="2"/>
  <c r="R97" i="2"/>
  <c r="R130" i="2"/>
  <c r="R15" i="2"/>
  <c r="R258" i="2"/>
  <c r="R239" i="2"/>
  <c r="R76" i="2"/>
  <c r="R25" i="2"/>
  <c r="R246" i="2"/>
  <c r="R55" i="2"/>
  <c r="R199" i="2"/>
  <c r="R114" i="2"/>
  <c r="R105" i="2"/>
  <c r="R138" i="2"/>
  <c r="R69" i="2"/>
  <c r="R50" i="2"/>
  <c r="R259" i="2"/>
  <c r="R217" i="2"/>
  <c r="R221" i="2"/>
  <c r="R157" i="2"/>
  <c r="R131" i="2"/>
  <c r="R184" i="2"/>
  <c r="R44" i="2"/>
  <c r="R85" i="2"/>
  <c r="R218" i="2"/>
  <c r="R52" i="2"/>
  <c r="R115" i="2"/>
  <c r="R275" i="2"/>
  <c r="R19" i="2"/>
  <c r="R34" i="2"/>
  <c r="R227" i="2"/>
  <c r="R204" i="2"/>
  <c r="R261" i="2"/>
  <c r="R197" i="2"/>
  <c r="R133" i="2"/>
  <c r="R163" i="2"/>
  <c r="R150" i="2"/>
  <c r="R113" i="2"/>
  <c r="R28" i="2"/>
  <c r="R23" i="2"/>
  <c r="R57" i="2"/>
  <c r="R45" i="2"/>
  <c r="R30" i="2"/>
  <c r="R214" i="2"/>
  <c r="R293" i="2"/>
  <c r="R229" i="2"/>
  <c r="R165" i="2"/>
  <c r="R101" i="2"/>
  <c r="R238" i="2"/>
  <c r="R93" i="2"/>
  <c r="R26" i="2"/>
  <c r="R65" i="2"/>
  <c r="R155" i="2"/>
  <c r="R269" i="2"/>
  <c r="R205" i="2"/>
  <c r="R141" i="2"/>
  <c r="R77" i="2"/>
  <c r="R13" i="2"/>
  <c r="R74" i="2"/>
  <c r="R10" i="2"/>
  <c r="R176" i="2"/>
  <c r="R264" i="2"/>
  <c r="R27" i="2"/>
  <c r="R222" i="2"/>
  <c r="R220" i="2"/>
  <c r="R24" i="2"/>
  <c r="R228" i="2"/>
  <c r="R151" i="2"/>
  <c r="R96" i="2"/>
  <c r="R11" i="2"/>
  <c r="R235" i="2"/>
  <c r="R159" i="2"/>
  <c r="R73" i="2"/>
  <c r="R216" i="2"/>
  <c r="R136" i="2"/>
  <c r="R51" i="2"/>
  <c r="R224" i="2"/>
  <c r="R145" i="2"/>
  <c r="R60" i="2"/>
  <c r="R255" i="2"/>
  <c r="R5" i="2"/>
  <c r="R2" i="2"/>
  <c r="R16" i="2"/>
  <c r="R59" i="2"/>
  <c r="R3" i="2"/>
  <c r="R202" i="2"/>
  <c r="R140" i="2"/>
  <c r="R86" i="2"/>
  <c r="R226" i="2"/>
  <c r="R148" i="2"/>
  <c r="R63" i="2"/>
  <c r="R280" i="2"/>
  <c r="R126" i="2"/>
  <c r="R288" i="2"/>
  <c r="R215" i="2"/>
  <c r="R49" i="2"/>
  <c r="R7" i="2"/>
  <c r="R6" i="2"/>
  <c r="R35" i="2"/>
  <c r="R210" i="2"/>
  <c r="R75" i="2"/>
  <c r="R290" i="2"/>
  <c r="R198" i="2"/>
  <c r="R279" i="2"/>
  <c r="R124" i="2"/>
  <c r="R268" i="2"/>
  <c r="R100" i="2"/>
  <c r="R4" i="2"/>
  <c r="R164" i="2"/>
  <c r="R274" i="2"/>
  <c r="R119" i="2"/>
  <c r="R64" i="2"/>
  <c r="R281" i="2"/>
  <c r="R208" i="2"/>
  <c r="R262" i="2"/>
  <c r="R188" i="2"/>
  <c r="R104" i="2"/>
  <c r="R196" i="2"/>
  <c r="R91" i="2"/>
  <c r="R237" i="2"/>
  <c r="R173" i="2"/>
  <c r="R106" i="2"/>
  <c r="R42" i="2"/>
  <c r="R8" i="2"/>
  <c r="R12" i="2"/>
  <c r="R70" i="2"/>
  <c r="R278" i="2"/>
  <c r="R134" i="2"/>
  <c r="R265" i="2"/>
  <c r="R192" i="2"/>
  <c r="R139" i="2"/>
  <c r="R54" i="2"/>
  <c r="R272" i="2"/>
  <c r="R116" i="2"/>
  <c r="R31" i="2"/>
  <c r="R252" i="2"/>
  <c r="R94" i="2"/>
  <c r="R260" i="2"/>
  <c r="R103" i="2"/>
  <c r="R17" i="2"/>
  <c r="R212" i="2"/>
  <c r="R175" i="2"/>
  <c r="R236" i="2"/>
  <c r="R132" i="2"/>
  <c r="R232" i="2"/>
  <c r="R46" i="2"/>
  <c r="R171" i="2"/>
  <c r="R223" i="2"/>
  <c r="R276" i="2"/>
  <c r="R111" i="2"/>
  <c r="R110" i="2"/>
  <c r="R256" i="2"/>
  <c r="R183" i="2"/>
  <c r="R128" i="2"/>
  <c r="R43" i="2"/>
  <c r="R263" i="2"/>
  <c r="R190" i="2"/>
  <c r="R20" i="2"/>
  <c r="R243" i="2"/>
  <c r="R168" i="2"/>
  <c r="R83" i="2"/>
  <c r="R177" i="2"/>
  <c r="R230" i="2"/>
  <c r="R286" i="2"/>
  <c r="R102" i="2"/>
  <c r="R144" i="2"/>
  <c r="R80" i="2"/>
  <c r="R247" i="2"/>
  <c r="R172" i="2"/>
  <c r="R87" i="2"/>
  <c r="R118" i="2"/>
  <c r="R32" i="2"/>
  <c r="R254" i="2"/>
  <c r="R180" i="2"/>
  <c r="R95" i="2"/>
  <c r="R9" i="2"/>
  <c r="R234" i="2"/>
  <c r="R158" i="2"/>
  <c r="R72" i="2"/>
  <c r="R242" i="2"/>
  <c r="R81" i="2"/>
  <c r="R153" i="2"/>
  <c r="R273" i="2"/>
  <c r="R277" i="2"/>
  <c r="R213" i="2"/>
  <c r="R149" i="2"/>
  <c r="R21" i="2"/>
  <c r="R146" i="2"/>
  <c r="R78" i="2"/>
  <c r="R195" i="2"/>
  <c r="R120" i="2"/>
  <c r="R88" i="2"/>
  <c r="R240" i="2"/>
  <c r="R56" i="2"/>
  <c r="R48" i="2"/>
  <c r="R107" i="2"/>
  <c r="R22" i="2"/>
  <c r="R244" i="2"/>
  <c r="R169" i="2"/>
  <c r="R84" i="2"/>
  <c r="R225" i="2"/>
  <c r="R62" i="2"/>
  <c r="R233" i="2"/>
  <c r="R156" i="2"/>
  <c r="R71" i="2"/>
  <c r="R2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C4D6FB-A2E5-478A-81BF-860807A6070C}"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45F21749-C24F-41F0-AD45-83D309057A0E}"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3" xr16:uid="{6215E382-9B02-41CA-9BF3-3B3720E8EBA8}" keepAlive="1" name="Query - Posts" description="Connection to the 'Posts' query in the workbook." type="5" refreshedVersion="7" background="1" saveData="1">
    <dbPr connection="Provider=Microsoft.Mashup.OleDb.1;Data Source=$Workbook$;Location=Posts;Extended Properties=&quot;&quot;" command="SELECT * FROM [Posts]"/>
  </connection>
  <connection id="4" xr16:uid="{B5458C0B-2EB8-484B-8C8A-16846411276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1B263F3-3BB1-4450-83E6-05C712358431}" name="WorksheetConnection_Book1.xlsx!Engagement_Summary" type="102" refreshedVersion="7" minRefreshableVersion="5">
    <extLst>
      <ext xmlns:x15="http://schemas.microsoft.com/office/spreadsheetml/2010/11/main" uri="{DE250136-89BD-433C-8126-D09CA5730AF9}">
        <x15:connection id="Engagement_Summary" autoDelete="1">
          <x15:rangePr sourceName="_xlcn.WorksheetConnection_Book1.xlsxEngagement_Summary1"/>
        </x15:connection>
      </ext>
    </extLst>
  </connection>
  <connection id="6" xr16:uid="{E2E33952-E192-460E-8DF3-7C3B6781E4AA}" name="WorksheetConnection_Book1.xlsx!Posts" type="102" refreshedVersion="7" minRefreshableVersion="5">
    <extLst>
      <ext xmlns:x15="http://schemas.microsoft.com/office/spreadsheetml/2010/11/main" uri="{DE250136-89BD-433C-8126-D09CA5730AF9}">
        <x15:connection id="Posts" autoDelete="1">
          <x15:rangePr sourceName="_xlcn.WorksheetConnection_Book1.xlsxPosts1"/>
        </x15:connection>
      </ext>
    </extLst>
  </connection>
</connections>
</file>

<file path=xl/sharedStrings.xml><?xml version="1.0" encoding="utf-8"?>
<sst xmlns="http://schemas.openxmlformats.org/spreadsheetml/2006/main" count="4612" uniqueCount="468">
  <si>
    <t>Post ID</t>
  </si>
  <si>
    <t>Platform</t>
  </si>
  <si>
    <t>Date</t>
  </si>
  <si>
    <t>Content Type</t>
  </si>
  <si>
    <t>Post Text</t>
  </si>
  <si>
    <t>Likes</t>
  </si>
  <si>
    <t>Shares</t>
  </si>
  <si>
    <t>Comments</t>
  </si>
  <si>
    <t>Impressions</t>
  </si>
  <si>
    <t>Reach</t>
  </si>
  <si>
    <t>Clicks</t>
  </si>
  <si>
    <t>Hashtags Used.1</t>
  </si>
  <si>
    <t>Hashtags Used.2</t>
  </si>
  <si>
    <t>Campaign_Name</t>
  </si>
  <si>
    <t>SP001</t>
  </si>
  <si>
    <t>Instagram</t>
  </si>
  <si>
    <t>Text</t>
  </si>
  <si>
    <t>Discover fresh beats on Spotify!</t>
  </si>
  <si>
    <t>#SoundtrackOfLife</t>
  </si>
  <si>
    <t>#NowPlaying</t>
  </si>
  <si>
    <t>ChillVibes</t>
  </si>
  <si>
    <t>SP002</t>
  </si>
  <si>
    <t>Explore the latest podcasts now.</t>
  </si>
  <si>
    <t>#DiscoverWeekly</t>
  </si>
  <si>
    <t>Null</t>
  </si>
  <si>
    <t>IndieWave</t>
  </si>
  <si>
    <t>SP003</t>
  </si>
  <si>
    <t>Twitter</t>
  </si>
  <si>
    <t>Story</t>
  </si>
  <si>
    <t>New music just dropped. Hit play!</t>
  </si>
  <si>
    <t>#MusicForEveryone</t>
  </si>
  <si>
    <t>SP004</t>
  </si>
  <si>
    <t>Wrapped is here! Relive your top tracks ðŸŽ§</t>
  </si>
  <si>
    <t>SP005</t>
  </si>
  <si>
    <t>YouTube</t>
  </si>
  <si>
    <t>Music that moves youâ€”only on Spotify.</t>
  </si>
  <si>
    <t>#SpotifyWrapped</t>
  </si>
  <si>
    <t>SP006</t>
  </si>
  <si>
    <t>Whatâ€™s your vibe today? #SpotifyHits</t>
  </si>
  <si>
    <t>SP007</t>
  </si>
  <si>
    <t>Get into the groove with our new drop!</t>
  </si>
  <si>
    <t>SP008</t>
  </si>
  <si>
    <t>SP009</t>
  </si>
  <si>
    <t>Top trending tracks updated daily!</t>
  </si>
  <si>
    <t>SP010</t>
  </si>
  <si>
    <t>SP011</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</si>
  <si>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</si>
  <si>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</si>
  <si>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</si>
  <si>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</si>
  <si>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</si>
  <si>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</si>
  <si>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</si>
  <si>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</si>
  <si>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</si>
  <si>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</si>
  <si>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</si>
  <si>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</si>
  <si>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</si>
  <si>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</si>
  <si>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</si>
  <si>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</si>
  <si>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</si>
  <si>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</si>
  <si>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</si>
  <si>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</si>
  <si>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</si>
  <si>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</si>
  <si>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</si>
  <si>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</si>
  <si>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</si>
  <si>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</si>
  <si>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</si>
  <si>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</si>
  <si>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</si>
  <si>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</si>
  <si>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</si>
  <si>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</si>
  <si>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</si>
  <si>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</si>
  <si>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</si>
  <si>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</si>
  <si>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</si>
  <si>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</si>
  <si>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</si>
  <si>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</si>
  <si>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</si>
  <si>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</si>
  <si>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</si>
  <si>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</si>
  <si>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</si>
  <si>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</si>
  <si>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</si>
  <si>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</si>
  <si>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</si>
  <si>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</si>
  <si>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</si>
  <si>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</si>
  <si>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</si>
  <si>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</si>
  <si>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</si>
  <si>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</si>
  <si>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</si>
  <si>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</si>
  <si>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</si>
  <si>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</si>
  <si>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</si>
  <si>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</si>
  <si>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</si>
  <si>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</si>
  <si>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</si>
  <si>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</si>
  <si>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</si>
  <si>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</si>
  <si>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</si>
  <si>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</si>
  <si>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</si>
  <si>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</si>
  <si>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</si>
  <si>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</si>
  <si>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</si>
  <si>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</si>
  <si>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</si>
  <si>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</si>
  <si>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</si>
  <si>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</si>
  <si>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</si>
  <si>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</si>
  <si>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</si>
  <si>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</si>
  <si>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</si>
  <si>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</si>
  <si>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</si>
  <si>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</si>
  <si>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</si>
  <si>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</si>
  <si>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</si>
  <si>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</si>
  <si>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</si>
  <si>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</si>
  <si>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</si>
  <si>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</si>
  <si>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</si>
  <si>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</si>
  <si>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</si>
  <si>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</si>
  <si>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</si>
  <si>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</si>
  <si>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</si>
  <si>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</si>
  <si>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</si>
  <si>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</si>
  <si>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</si>
  <si>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</si>
  <si>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</si>
  <si>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</si>
  <si>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</si>
  <si>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</si>
  <si>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</si>
  <si>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</si>
  <si>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</si>
  <si>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</si>
  <si>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</si>
  <si>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</si>
  <si>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</si>
  <si>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</si>
  <si>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</si>
  <si>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</si>
  <si>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</si>
  <si>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</si>
  <si>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</si>
  <si>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</si>
  <si>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</si>
  <si>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</si>
  <si>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</si>
  <si>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</si>
  <si>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</si>
  <si>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</si>
  <si>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</si>
  <si>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</si>
  <si>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</si>
  <si>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</si>
  <si>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</si>
  <si>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</si>
  <si>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</si>
  <si>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</si>
  <si>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</si>
  <si>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</si>
  <si>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</si>
  <si>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</si>
  <si>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</si>
  <si>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</si>
  <si>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</si>
  <si>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</si>
  <si>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</si>
  <si>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</si>
  <si>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</si>
  <si>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</si>
  <si>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</si>
  <si>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</si>
  <si>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</si>
  <si>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</si>
  <si>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</si>
  <si>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</si>
  <si>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</si>
  <si>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</si>
  <si>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</si>
  <si>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</si>
  <si>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</si>
  <si>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</si>
  <si>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</si>
  <si>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</si>
  <si>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</si>
  <si>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</si>
  <si>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</si>
  <si>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</si>
  <si>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</si>
  <si>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</si>
  <si>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</si>
  <si>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</si>
  <si>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</si>
  <si>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</si>
  <si>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</si>
  <si>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</si>
  <si>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</si>
  <si>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</si>
  <si>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</si>
  <si>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</si>
  <si>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</si>
  <si>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</si>
  <si>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</si>
  <si>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</si>
  <si>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</si>
  <si>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</si>
  <si>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</si>
  <si>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</si>
  <si>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</si>
  <si>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</si>
  <si>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</si>
  <si>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</si>
  <si>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</si>
  <si>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</si>
  <si>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</si>
  <si>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</si>
  <si>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</si>
  <si>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</si>
  <si>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</si>
  <si>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</si>
  <si>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</si>
  <si>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</si>
  <si>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</si>
  <si>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</si>
  <si>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</si>
  <si>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</si>
  <si>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</si>
  <si>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</si>
  <si>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</si>
  <si>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</si>
  <si>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</si>
  <si>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</si>
  <si>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</si>
  <si>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</si>
  <si>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</si>
  <si>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</si>
  <si>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</si>
  <si>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</si>
  <si>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</si>
  <si>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</si>
  <si>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</si>
  <si>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</si>
  <si>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</si>
  <si>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</si>
  <si>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</si>
  <si>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</si>
  <si>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</si>
  <si>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</si>
  <si>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</si>
  <si>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</si>
  <si>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</si>
  <si>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</si>
  <si>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</si>
  <si>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</si>
  <si>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</si>
  <si>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</si>
  <si>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</si>
  <si>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</si>
  <si>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</si>
  <si>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</si>
  <si>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</si>
  <si>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</si>
  <si>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</si>
  <si>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</si>
  <si>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</si>
  <si>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</si>
  <si>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</si>
  <si>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</si>
  <si>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</si>
  <si>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</si>
  <si>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</si>
  <si>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</si>
  <si>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</si>
  <si>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</si>
  <si>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</si>
  <si>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</si>
  <si>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</si>
  <si>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</si>
  <si>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</si>
  <si>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</si>
  <si>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</si>
  <si>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</si>
  <si>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</si>
  <si>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</si>
  <si>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</si>
  <si>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</si>
  <si>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</si>
  <si>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</si>
  <si>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</si>
  <si>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</si>
  <si>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</si>
  <si>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</si>
  <si>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</si>
  <si>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</si>
  <si>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</si>
  <si>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</si>
  <si>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</si>
  <si>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</si>
  <si>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</si>
  <si>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</si>
  <si>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</si>
  <si>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</si>
  <si>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</si>
  <si>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</si>
  <si>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</si>
  <si>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</si>
  <si>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</si>
  <si>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</si>
  <si>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</si>
  <si>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</si>
  <si>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</si>
  <si>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Start_Date</t>
  </si>
  <si>
    <t>End_Date</t>
  </si>
  <si>
    <t>Objective</t>
  </si>
  <si>
    <t>Total_Budget</t>
  </si>
  <si>
    <t>Target_Platforms</t>
  </si>
  <si>
    <t>Primary_Hashtags.1</t>
  </si>
  <si>
    <t>Primary_Hashtags.2</t>
  </si>
  <si>
    <t>Brand Awareness</t>
  </si>
  <si>
    <t>Instagram,YouTube</t>
  </si>
  <si>
    <t>Engagement</t>
  </si>
  <si>
    <t>Twitter,YouTube</t>
  </si>
  <si>
    <t>Product Launch</t>
  </si>
  <si>
    <t>Instagram,Twitter</t>
  </si>
  <si>
    <t>#ChillVibes</t>
  </si>
  <si>
    <t>Traffic</t>
  </si>
  <si>
    <t>Facebook,Instagram</t>
  </si>
  <si>
    <t>#IndieWave</t>
  </si>
  <si>
    <t>Week_Start_Date</t>
  </si>
  <si>
    <t>New_Followers</t>
  </si>
  <si>
    <t>Unfollows</t>
  </si>
  <si>
    <t>Total_Followers</t>
  </si>
  <si>
    <t>Engagement_Rate</t>
  </si>
  <si>
    <t>Ad_Spend</t>
  </si>
  <si>
    <t>Grand Total</t>
  </si>
  <si>
    <t>Identify Top 10 posts by engagement rate</t>
  </si>
  <si>
    <t>Hastag</t>
  </si>
  <si>
    <t>Average of Clicks</t>
  </si>
  <si>
    <t>Average Clicks per post by Hashtag</t>
  </si>
  <si>
    <t>Total Likes, Shares, Comments by Content Type and Platform</t>
  </si>
  <si>
    <t>#SoundtrackOfLife,#NowPlaying</t>
  </si>
  <si>
    <t>#MusicForEveryone,#NowPlaying</t>
  </si>
  <si>
    <t>#DiscoverWeekly,#SpotifyWrapped</t>
  </si>
  <si>
    <t>#DiscoverWeekly,#MusicForEveryone</t>
  </si>
  <si>
    <t>#DiscoverWeekly,#SoundtrackOfLife</t>
  </si>
  <si>
    <t xml:space="preserve"> engagement rate</t>
  </si>
  <si>
    <t>platform yields highest engagement</t>
  </si>
  <si>
    <t>Sum of Grouth rate</t>
  </si>
  <si>
    <t>Weakly Growth Rate by platfrom</t>
  </si>
  <si>
    <t>Top-performing hashtags</t>
  </si>
  <si>
    <t>Highlight Top-performing hashtags using ranking formulas.</t>
  </si>
  <si>
    <t>Values</t>
  </si>
  <si>
    <t>Total Ad_Spend</t>
  </si>
  <si>
    <t>Total Engagement_Rate</t>
  </si>
  <si>
    <t>Row Labels</t>
  </si>
  <si>
    <t>Hashtags Used</t>
  </si>
  <si>
    <t>SP300</t>
  </si>
  <si>
    <t>Primary_Hashtags</t>
  </si>
  <si>
    <t>2024-06-15</t>
  </si>
  <si>
    <t>2024-07-15</t>
  </si>
  <si>
    <t>#SpotifyWrapped,#MusicForEveryone</t>
  </si>
  <si>
    <t>2024-12-01</t>
  </si>
  <si>
    <t>2024-12-31</t>
  </si>
  <si>
    <t>#SpotifyWrapped,#NowPlaying</t>
  </si>
  <si>
    <t>2025-01-10</t>
  </si>
  <si>
    <t>2025-02-10</t>
  </si>
  <si>
    <t>#ChillVibes,#SoundtrackOfLife</t>
  </si>
  <si>
    <t>2025-03-01</t>
  </si>
  <si>
    <t>2025-03-31</t>
  </si>
  <si>
    <t>#DiscoverWeekly,#IndieWave</t>
  </si>
  <si>
    <t>Sum of Engaement Rate</t>
  </si>
  <si>
    <t>Frequent hashtags and average</t>
  </si>
  <si>
    <t>Column Labels</t>
  </si>
  <si>
    <t>Compare content types (Text, Story,Reel) performance across platforms</t>
  </si>
  <si>
    <t xml:space="preserve"> </t>
  </si>
  <si>
    <t>Total Impressions</t>
  </si>
  <si>
    <t>Average Impressions</t>
  </si>
  <si>
    <t>Total Clicks</t>
  </si>
  <si>
    <t>Total Likes</t>
  </si>
  <si>
    <t>Average Likes</t>
  </si>
  <si>
    <t>Total &amp; average impressions, likes, clicks per campaign</t>
  </si>
  <si>
    <t>period</t>
  </si>
  <si>
    <t>Avg. Before</t>
  </si>
  <si>
    <t>calculate uplift %</t>
  </si>
  <si>
    <t>Avg. During</t>
  </si>
  <si>
    <t>engagement rate</t>
  </si>
  <si>
    <t xml:space="preserve"> Engaement Rate</t>
  </si>
  <si>
    <t>Total Shares</t>
  </si>
  <si>
    <t>Total Comments</t>
  </si>
  <si>
    <t>Average Clicks</t>
  </si>
  <si>
    <t>ROI</t>
  </si>
  <si>
    <t>Sum of ROI</t>
  </si>
  <si>
    <t>Campaign with highest ROI</t>
  </si>
  <si>
    <t>Net Follower Growth</t>
  </si>
  <si>
    <t>Platfrom</t>
  </si>
  <si>
    <t>Compaign Name</t>
  </si>
  <si>
    <t>Campaign</t>
  </si>
  <si>
    <t>Date(WEEK)</t>
  </si>
  <si>
    <t xml:space="preserve"> Net Follower Growth</t>
  </si>
  <si>
    <t xml:space="preserve"> Identify week with highest net follower gain</t>
  </si>
  <si>
    <t>Jan</t>
  </si>
  <si>
    <t>Feb</t>
  </si>
  <si>
    <t>Mar</t>
  </si>
  <si>
    <t>Apr</t>
  </si>
  <si>
    <t>May</t>
  </si>
  <si>
    <t>Jun</t>
  </si>
  <si>
    <t>Jul</t>
  </si>
  <si>
    <t>Aug</t>
  </si>
  <si>
    <t>Sep</t>
  </si>
  <si>
    <t>Oct</t>
  </si>
  <si>
    <t>Nov</t>
  </si>
  <si>
    <t>Dec</t>
  </si>
  <si>
    <t>Average of Total_Followers</t>
  </si>
  <si>
    <t>Moving average chart to analyze follower trends</t>
  </si>
  <si>
    <t xml:space="preserve"> Ad_Spend</t>
  </si>
  <si>
    <t>Month</t>
  </si>
  <si>
    <t>Correlation between Ad Spend vs. Follower Growth</t>
  </si>
  <si>
    <t>Average of engagement rate</t>
  </si>
  <si>
    <t xml:space="preserve"> Avg. Before</t>
  </si>
  <si>
    <t xml:space="preserve"> Avg. During</t>
  </si>
  <si>
    <t xml:space="preserve"> Uplift %</t>
  </si>
  <si>
    <t>Posts</t>
  </si>
  <si>
    <t>Visualized Ad Spend vs. Engagement using charts</t>
  </si>
  <si>
    <t>Recommended optimal content type-platform combinations</t>
  </si>
  <si>
    <t>Campaign Effectiveness</t>
  </si>
  <si>
    <t>: Hashtag &amp; Content Strategy</t>
  </si>
  <si>
    <t>Platform Performance Analysis</t>
  </si>
  <si>
    <t>: Engagement Analysis</t>
  </si>
  <si>
    <t>Follower Retention &amp; Loyalty</t>
  </si>
  <si>
    <t>03-06-2024 - 09-06-2024</t>
  </si>
  <si>
    <t>17-06-2024 - 23-06-2024</t>
  </si>
  <si>
    <t>08-07-2024 - 14-07-2024</t>
  </si>
  <si>
    <t>12-08-2024 - 18-08-2024</t>
  </si>
  <si>
    <t>30-09-2024 - 06-10-2024</t>
  </si>
  <si>
    <t>04-11-2024 - 10-11-2024</t>
  </si>
  <si>
    <t>07-04-2025 - 13-04-2025</t>
  </si>
  <si>
    <t>14-04-2025 - 20-04-2025</t>
  </si>
  <si>
    <t>19-05-2025 - 25-05-2025</t>
  </si>
  <si>
    <t>28-07-2025 - 03-08-2025</t>
  </si>
  <si>
    <t>Calculated Engagement Rate per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</si>
</sst>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m/d/yyyy"/>
    <numFmt numFmtId="167" formatCode="#,##0.0"/>
    <numFmt numFmtId="168" formatCode="0.000"/>
  </numFmts>
  <fonts count="9">
    <font>
      <sz val="11"/>
      <color theme="1"/>
      <name val="Calibri"/>
      <family val="2"/>
      <scheme val="minor"/>
    </font>
    <font>
      <b/>
      <sz val="11"/>
      <color theme="1"/>
      <name val="Calibri"/>
      <family val="2"/>
      <scheme val="minor"/>
    </font>
    <font>
      <sz val="11"/>
      <color theme="1"/>
      <name val="Calibri"/>
      <family val="2"/>
      <scheme val="minor"/>
    </font>
    <font>
      <b/>
      <sz val="10"/>
      <color rgb="FF374151"/>
      <name val="Segoe UI"/>
      <family val="2"/>
    </font>
    <font>
      <b/>
      <sz val="11"/>
      <color rgb="FF000000"/>
      <name val="Calibri"/>
      <family val="2"/>
      <scheme val="minor"/>
    </font>
    <font>
      <sz val="11"/>
      <color rgb="FF000000"/>
      <name val="Calibri"/>
      <family val="2"/>
      <scheme val="minor"/>
    </font>
    <font>
      <b/>
      <sz val="11"/>
      <color theme="1"/>
      <name val="Calibri"/>
      <family val="2"/>
    </font>
    <font>
      <sz val="8"/>
      <name val="Calibri"/>
      <family val="2"/>
      <scheme val="minor"/>
    </font>
    <font>
      <b/>
      <sz val="11"/>
      <color rgb="FF000000"/>
      <name val="Arial-BoldMT"/>
    </font>
  </fonts>
  <fills count="5">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70">
    <xf numFmtId="0" fontId="0" fillId="0" borderId="0" xfId="0"/>
    <xf numFmtId="0" fontId="0" fillId="0" borderId="0" xfId="0" applyNumberFormat="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0" borderId="0" xfId="0" applyFont="1" applyAlignment="1">
      <alignment horizontal="center" vertical="center"/>
    </xf>
    <xf numFmtId="0" fontId="0" fillId="0" borderId="1" xfId="0" applyBorder="1"/>
    <xf numFmtId="14" fontId="0" fillId="0" borderId="0" xfId="0" applyNumberForma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165" fontId="5" fillId="0" borderId="0" xfId="0" applyNumberFormat="1" applyFont="1" applyAlignment="1">
      <alignment horizontal="center" vertical="center"/>
    </xf>
    <xf numFmtId="166" fontId="5" fillId="0" borderId="0" xfId="0" applyNumberFormat="1" applyFont="1" applyAlignment="1">
      <alignment horizontal="center" vertical="center"/>
    </xf>
    <xf numFmtId="0" fontId="4"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5" fillId="0" borderId="1" xfId="0" applyFont="1" applyBorder="1" applyAlignment="1">
      <alignment horizontal="center" vertical="center"/>
    </xf>
    <xf numFmtId="166"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2" fillId="0" borderId="1" xfId="0" applyFont="1" applyBorder="1" applyAlignment="1">
      <alignment vertical="center"/>
    </xf>
    <xf numFmtId="164" fontId="0" fillId="0" borderId="1" xfId="0" applyNumberFormat="1" applyBorder="1"/>
    <xf numFmtId="0" fontId="0" fillId="0" borderId="1" xfId="0" applyNumberFormat="1" applyBorder="1" applyAlignment="1">
      <alignment horizontal="center" vertical="center"/>
    </xf>
    <xf numFmtId="0" fontId="0" fillId="0" borderId="0" xfId="0" applyAlignment="1">
      <alignment horizontal="center"/>
    </xf>
    <xf numFmtId="0" fontId="0" fillId="0" borderId="1" xfId="0" applyNumberFormat="1" applyBorder="1"/>
    <xf numFmtId="0" fontId="0" fillId="0" borderId="0" xfId="0" applyAlignment="1"/>
    <xf numFmtId="2" fontId="0" fillId="0" borderId="1" xfId="0" applyNumberFormat="1" applyBorder="1" applyAlignment="1">
      <alignment horizontal="center" vertical="center"/>
    </xf>
    <xf numFmtId="0" fontId="1" fillId="3" borderId="1" xfId="0" applyFont="1" applyFill="1" applyBorder="1" applyAlignment="1">
      <alignment horizontal="center" vertical="center"/>
    </xf>
    <xf numFmtId="1" fontId="3" fillId="0" borderId="1" xfId="0" applyNumberFormat="1" applyFont="1" applyBorder="1" applyAlignment="1">
      <alignment horizontal="center" vertical="center"/>
    </xf>
    <xf numFmtId="0" fontId="0" fillId="0" borderId="0" xfId="0" applyBorder="1" applyAlignment="1">
      <alignment horizontal="center" vertical="center"/>
    </xf>
    <xf numFmtId="0" fontId="0" fillId="0" borderId="1" xfId="0" pivotButton="1" applyFont="1" applyBorder="1"/>
    <xf numFmtId="0" fontId="0" fillId="0" borderId="1" xfId="0" applyFont="1" applyBorder="1"/>
    <xf numFmtId="0" fontId="0" fillId="0" borderId="1" xfId="0" applyFont="1" applyBorder="1" applyAlignment="1">
      <alignment horizontal="left"/>
    </xf>
    <xf numFmtId="14" fontId="0" fillId="0" borderId="1" xfId="0" applyNumberFormat="1" applyBorder="1"/>
    <xf numFmtId="167" fontId="0" fillId="0" borderId="1" xfId="0" applyNumberFormat="1" applyFont="1" applyBorder="1"/>
    <xf numFmtId="3" fontId="0" fillId="0" borderId="1" xfId="0" applyNumberFormat="1" applyFont="1" applyBorder="1"/>
    <xf numFmtId="168" fontId="0" fillId="0" borderId="0" xfId="0" applyNumberFormat="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5" xfId="0" applyNumberFormat="1" applyBorder="1" applyAlignment="1">
      <alignment horizontal="center" vertical="center"/>
    </xf>
    <xf numFmtId="0" fontId="0" fillId="0" borderId="5" xfId="0" pivotButton="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2" fontId="0" fillId="0" borderId="1" xfId="0" applyNumberFormat="1" applyBorder="1"/>
    <xf numFmtId="10" fontId="0" fillId="0" borderId="1" xfId="0" applyNumberFormat="1" applyBorder="1"/>
    <xf numFmtId="0" fontId="0" fillId="0" borderId="1" xfId="0" pivotButton="1" applyBorder="1" applyAlignment="1"/>
    <xf numFmtId="0" fontId="0" fillId="0" borderId="1" xfId="0" applyBorder="1" applyAlignment="1"/>
    <xf numFmtId="0" fontId="0" fillId="0" borderId="1" xfId="0" applyNumberFormat="1" applyBorder="1" applyAlignment="1"/>
    <xf numFmtId="0" fontId="8" fillId="0" borderId="0" xfId="0" applyFont="1"/>
    <xf numFmtId="0" fontId="1" fillId="4" borderId="1" xfId="0" applyFont="1" applyFill="1" applyBorder="1" applyAlignment="1">
      <alignment horizontal="center" vertical="center"/>
    </xf>
    <xf numFmtId="0" fontId="8" fillId="0" borderId="0" xfId="0" applyFont="1" applyAlignment="1">
      <alignment horizontal="center" vertical="center"/>
    </xf>
    <xf numFmtId="3" fontId="0" fillId="0" borderId="1" xfId="0" pivotButton="1" applyNumberFormat="1" applyBorder="1" applyAlignment="1">
      <alignment horizontal="center" vertical="center"/>
    </xf>
    <xf numFmtId="3" fontId="0" fillId="0" borderId="1" xfId="0" applyNumberFormat="1" applyBorder="1" applyAlignment="1">
      <alignment horizontal="center" vertical="center"/>
    </xf>
    <xf numFmtId="0" fontId="0" fillId="0" borderId="0" xfId="0" applyAlignment="1">
      <alignment wrapText="1"/>
    </xf>
    <xf numFmtId="167" fontId="0" fillId="0" borderId="1" xfId="0" applyNumberFormat="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xf>
    <xf numFmtId="0" fontId="1" fillId="2" borderId="1" xfId="0" applyFont="1" applyFill="1" applyBorder="1" applyAlignment="1">
      <alignment horizontal="center" vertical="center" wrapText="1"/>
    </xf>
  </cellXfs>
  <cellStyles count="1">
    <cellStyle name="Normal" xfId="0" builtinId="0"/>
  </cellStyles>
  <dxfs count="372">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167" formatCode="#,##0.0"/>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167" formatCode="#,##0.0"/>
    </dxf>
    <dxf>
      <numFmt numFmtId="167" formatCode="#,##0.0"/>
    </dxf>
    <dxf>
      <numFmt numFmtId="3" formatCode="#,##0"/>
    </dxf>
    <dxf>
      <numFmt numFmtId="3" formatCode="#,##0"/>
    </dxf>
    <dxf>
      <numFmt numFmtId="3" formatCode="#,##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alignment wrapText="0"/>
    </dxf>
    <dxf>
      <alignment wrapText="0"/>
    </dxf>
    <dxf>
      <alignment wrapText="0"/>
    </dxf>
    <dxf>
      <alignment wrapText="0"/>
    </dxf>
    <dxf>
      <alignment wrapText="0"/>
    </dxf>
    <dxf>
      <alignment wrapText="0"/>
    </dxf>
    <dxf>
      <alignment wrapText="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wrapText="0"/>
    </dxf>
    <dxf>
      <alignment wrapText="0"/>
    </dxf>
    <dxf>
      <alignment wrapText="0"/>
    </dxf>
    <dxf>
      <alignment wrapText="0"/>
    </dxf>
    <dxf>
      <alignment wrapText="0"/>
    </dxf>
    <dxf>
      <alignment wrapText="0"/>
    </dxf>
    <dxf>
      <alignment wrapText="0"/>
    </dxf>
    <dxf>
      <alignment wrapTex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center"/>
    </dxf>
    <dxf>
      <alignment horizontal="center"/>
    </dxf>
    <dxf>
      <alignment horizontal="center"/>
    </dxf>
    <dxf>
      <alignment horizontal="center"/>
    </dxf>
    <dxf>
      <alignment horizontal="center"/>
    </dxf>
    <dxf>
      <numFmt numFmtId="4" formatCode="#,##0.00"/>
    </dxf>
    <dxf>
      <numFmt numFmtId="4" formatCode="#,##0.00"/>
    </dxf>
    <dxf>
      <numFmt numFmtId="4" formatCode="#,##0.00"/>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val="0"/>
      </font>
    </dxf>
    <dxf>
      <font>
        <b val="0"/>
      </font>
    </dxf>
    <dxf>
      <font>
        <b val="0"/>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numFmt numFmtId="2" formatCode="0.00"/>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0.0"/>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vertical="center"/>
    </dxf>
    <dxf>
      <alignment vertical="center"/>
    </dxf>
    <dxf>
      <alignment vertical="center"/>
    </dxf>
    <dxf>
      <alignment vertical="center"/>
    </dxf>
    <dxf>
      <alignment horizontal="center"/>
    </dxf>
    <dxf>
      <alignment horizontal="center"/>
    </dxf>
    <dxf>
      <alignment horizontal="cent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8"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numFmt numFmtId="164" formatCode="0.0"/>
      <border diagonalUp="0" diagonalDown="0">
        <left style="thin">
          <color indexed="64"/>
        </left>
        <right style="thin">
          <color indexed="64"/>
        </right>
        <top style="thin">
          <color indexed="64"/>
        </top>
        <bottom style="thin">
          <color indexed="64"/>
        </bottom>
        <vertical/>
        <horizontal/>
      </border>
    </dxf>
    <dxf>
      <numFmt numFmtId="164" formatCode="0.0"/>
      <border diagonalUp="0" diagonalDown="0">
        <left style="thin">
          <color indexed="64"/>
        </left>
        <right style="thin">
          <color indexed="64"/>
        </right>
        <top style="thin">
          <color indexed="64"/>
        </top>
        <bottom style="thin">
          <color indexed="64"/>
        </bottom>
        <vertical/>
        <horizontal/>
      </border>
    </dxf>
    <dxf>
      <numFmt numFmtId="164" formatCode="0.0"/>
      <border diagonalUp="0" diagonalDown="0">
        <left style="thin">
          <color indexed="64"/>
        </left>
        <right style="thin">
          <color indexed="64"/>
        </right>
        <top style="thin">
          <color indexed="64"/>
        </top>
        <bottom style="thin">
          <color indexed="64"/>
        </bottom>
        <vertical/>
        <horizontal/>
      </border>
    </dxf>
    <dxf>
      <numFmt numFmtId="164" formatCode="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[Lucky Swiggy Project.xlsx]Task 3!PivotTable6</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3'!$H$5:$H$6</c:f>
              <c:strCache>
                <c:ptCount val="1"/>
                <c:pt idx="0">
                  <c:v>Total Ad_Spend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3'!$G$7:$G$10</c:f>
              <c:strCache>
                <c:ptCount val="3"/>
                <c:pt idx="0">
                  <c:v>Instagram</c:v>
                </c:pt>
                <c:pt idx="1">
                  <c:v>Twitter</c:v>
                </c:pt>
                <c:pt idx="2">
                  <c:v>YouTube</c:v>
                </c:pt>
              </c:strCache>
            </c:strRef>
          </c:cat>
          <c:val>
            <c:numRef>
              <c:f>'Task 3'!$H$7:$H$10</c:f>
              <c:numCache>
                <c:formatCode>General</c:formatCode>
                <c:ptCount val="3"/>
                <c:pt idx="0">
                  <c:v>1035942</c:v>
                </c:pt>
                <c:pt idx="1">
                  <c:v>1114204</c:v>
                </c:pt>
                <c:pt idx="2">
                  <c:v>1065782</c:v>
                </c:pt>
              </c:numCache>
            </c:numRef>
          </c:val>
          <c:extLst>
            <c:ext xmlns:c16="http://schemas.microsoft.com/office/drawing/2014/chart" uri="{C3380CC4-5D6E-409C-BE32-E72D297353CC}">
              <c16:uniqueId val="{00000001-8D13-4AE9-BA31-B06F954CEE37}"/>
            </c:ext>
          </c:extLst>
        </c:ser>
        <c:dLbls>
          <c:showLegendKey val="0"/>
          <c:showVal val="0"/>
          <c:showCatName val="0"/>
          <c:showSerName val="0"/>
          <c:showPercent val="0"/>
          <c:showBubbleSize val="0"/>
        </c:dLbls>
        <c:gapWidth val="219"/>
        <c:axId val="1149616015"/>
        <c:axId val="1149625999"/>
      </c:barChart>
      <c:lineChart>
        <c:grouping val="standard"/>
        <c:varyColors val="0"/>
        <c:ser>
          <c:idx val="1"/>
          <c:order val="1"/>
          <c:tx>
            <c:strRef>
              <c:f>'Task 3'!$I$5:$I$6</c:f>
              <c:strCache>
                <c:ptCount val="1"/>
                <c:pt idx="0">
                  <c:v>Total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'Task 3'!$G$7:$G$10</c:f>
              <c:strCache>
                <c:ptCount val="3"/>
                <c:pt idx="0">
                  <c:v>Instagram</c:v>
                </c:pt>
                <c:pt idx="1">
                  <c:v>Twitter</c:v>
                </c:pt>
                <c:pt idx="2">
                  <c:v>YouTube</c:v>
                </c:pt>
              </c:strCache>
            </c:strRef>
          </c:cat>
          <c:val>
            <c:numRef>
              <c:f>'Task 3'!$I$7:$I$10</c:f>
              <c:numCache>
                <c:formatCode>General</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2-8D13-4AE9-BA31-B06F954CEE37}"/>
            </c:ext>
          </c:extLst>
        </c:ser>
        <c:dLbls>
          <c:showLegendKey val="0"/>
          <c:showVal val="0"/>
          <c:showCatName val="0"/>
          <c:showSerName val="0"/>
          <c:showPercent val="0"/>
          <c:showBubbleSize val="0"/>
        </c:dLbls>
        <c:marker val="1"/>
        <c:smooth val="0"/>
        <c:axId val="1438479039"/>
        <c:axId val="1438484447"/>
      </c:lineChart>
      <c:catAx>
        <c:axId val="1438479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484447"/>
        <c:crosses val="autoZero"/>
        <c:auto val="1"/>
        <c:lblAlgn val="ctr"/>
        <c:lblOffset val="100"/>
        <c:noMultiLvlLbl val="0"/>
      </c:catAx>
      <c:valAx>
        <c:axId val="1438484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479039"/>
        <c:crosses val="autoZero"/>
        <c:crossBetween val="between"/>
      </c:valAx>
      <c:valAx>
        <c:axId val="1149625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616015"/>
        <c:crosses val="max"/>
        <c:crossBetween val="between"/>
      </c:valAx>
      <c:catAx>
        <c:axId val="1149616015"/>
        <c:scaling>
          <c:orientation val="minMax"/>
        </c:scaling>
        <c:delete val="1"/>
        <c:axPos val="b"/>
        <c:numFmt formatCode="General" sourceLinked="1"/>
        <c:majorTickMark val="out"/>
        <c:minorTickMark val="none"/>
        <c:tickLblPos val="nextTo"/>
        <c:crossAx val="11496259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[Lucky Swiggy Project.xlsx]Task 4!PivotTable3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Best Content Per Platfrom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'Task 4'!$B$15:$B$16</c:f>
              <c:strCache>
                <c:ptCount val="1"/>
                <c:pt idx="0">
                  <c:v>Reel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4'!$A$17:$A$20</c:f>
              <c:strCache>
                <c:ptCount val="3"/>
                <c:pt idx="0">
                  <c:v>Instagram</c:v>
                </c:pt>
                <c:pt idx="1">
                  <c:v>Twitter</c:v>
                </c:pt>
                <c:pt idx="2">
                  <c:v>YouTube</c:v>
                </c:pt>
              </c:strCache>
            </c:strRef>
          </c:cat>
          <c:val>
            <c:numRef>
              <c:f>'Task 4'!$B$17:$B$20</c:f>
              <c:numCache>
                <c:formatCode>General</c:formatCode>
                <c:ptCount val="3"/>
                <c:pt idx="0">
                  <c:v>#N/A</c:v>
                </c:pt>
                <c:pt idx="1">
                  <c:v>#N/A</c:v>
                </c:pt>
                <c:pt idx="2">
                  <c:v>8.5733875915526401</c:v>
                </c:pt>
              </c:numCache>
            </c:numRef>
          </c:val>
          <c:extLst>
            <c:ext xmlns:c16="http://schemas.microsoft.com/office/drawing/2014/chart" uri="{C3380CC4-5D6E-409C-BE32-E72D297353CC}">
              <c16:uniqueId val="{00000000-0C23-45B2-A253-7190CCAD46DF}"/>
            </c:ext>
          </c:extLst>
        </c:ser>
        <c:ser>
          <c:idx val="1"/>
          <c:order val="1"/>
          <c:tx>
            <c:strRef>
              <c:f>'Task 4'!$C$15:$C$16</c:f>
              <c:strCache>
                <c:ptCount val="1"/>
                <c:pt idx="0">
                  <c:v>Story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4'!$A$17:$A$20</c:f>
              <c:strCache>
                <c:ptCount val="3"/>
                <c:pt idx="0">
                  <c:v>Instagram</c:v>
                </c:pt>
                <c:pt idx="1">
                  <c:v>Twitter</c:v>
                </c:pt>
                <c:pt idx="2">
                  <c:v>YouTube</c:v>
                </c:pt>
              </c:strCache>
            </c:strRef>
          </c:cat>
          <c:val>
            <c:numRef>
              <c:f>'Task 4'!$C$17:$C$20</c:f>
              <c:numCache>
                <c:formatCode>General</c:formatCode>
                <c:ptCount val="3"/>
                <c:pt idx="0">
                  <c:v>8.7200689618514318</c:v>
                </c:pt>
                <c:pt idx="1">
                  <c:v>8.6321495764776994</c:v>
                </c:pt>
                <c:pt idx="2">
                  <c:v>#N/A</c:v>
                </c:pt>
              </c:numCache>
            </c:numRef>
          </c:val>
          <c:extLst>
            <c:ext xmlns:c16="http://schemas.microsoft.com/office/drawing/2014/chart" uri="{C3380CC4-5D6E-409C-BE32-E72D297353CC}">
              <c16:uniqueId val="{00000001-D4C7-416A-A179-2CD673554A27}"/>
            </c:ext>
          </c:extLst>
        </c:ser>
        <c:ser>
          <c:idx val="2"/>
          <c:order val="2"/>
          <c:tx>
            <c:strRef>
              <c:f>'Task 4'!$D$15:$D$16</c:f>
              <c:strCache>
                <c:ptCount val="1"/>
                <c:pt idx="0">
                  <c:v>Text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4'!$A$17:$A$20</c:f>
              <c:strCache>
                <c:ptCount val="3"/>
                <c:pt idx="0">
                  <c:v>Instagram</c:v>
                </c:pt>
                <c:pt idx="1">
                  <c:v>Twitter</c:v>
                </c:pt>
                <c:pt idx="2">
                  <c:v>YouTube</c:v>
                </c:pt>
              </c:strCache>
            </c:strRef>
          </c:cat>
          <c:val>
            <c:numRef>
              <c:f>'Task 4'!$D$17:$D$20</c:f>
              <c:numCache>
                <c:formatCode>General</c:formatCode>
                <c:ptCount val="3"/>
                <c:pt idx="0">
                  <c:v>8.4006311378380367</c:v>
                </c:pt>
                <c:pt idx="1">
                  <c:v>8.5286185633727314</c:v>
                </c:pt>
                <c:pt idx="2">
                  <c:v>7.959959615086964</c:v>
                </c:pt>
              </c:numCache>
            </c:numRef>
          </c:val>
          <c:extLst>
            <c:ext xmlns:c16="http://schemas.microsoft.com/office/drawing/2014/chart" uri="{C3380CC4-5D6E-409C-BE32-E72D297353CC}">
              <c16:uniqueId val="{00000002-D4C7-416A-A179-2CD673554A27}"/>
            </c:ext>
          </c:extLst>
        </c:ser>
        <c:dLbls>
          <c:showLegendKey val="0"/>
          <c:showVal val="0"/>
          <c:showCatName val="0"/>
          <c:showSerName val="0"/>
          <c:showPercent val="0"/>
          <c:showBubbleSize val="0"/>
        </c:dLbls>
        <c:gapWidth val="100"/>
        <c:overlap val="-24"/>
        <c:axId val="2068861776"/>
        <c:axId val="2068865520"/>
      </c:barChart>
      <c:catAx>
        <c:axId val="20688617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Platfrom</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65520"/>
        <c:crosses val="autoZero"/>
        <c:auto val="1"/>
        <c:lblAlgn val="ctr"/>
        <c:lblOffset val="100"/>
        <c:noMultiLvlLbl val="0"/>
      </c:catAx>
      <c:valAx>
        <c:axId val="206886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Engagement Rate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8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1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[Lucky Swiggy Project.xlsx]Task 6!PivotTable6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Moving avg. by followers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6'!$B$21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19050" cap="rnd">
                <a:solidFill>
                  <a:schemeClr val="accent1"/>
                </a:solidFill>
                <a:prstDash val="sysDash"/>
              </a:ln>
              <a:effectLst/>
            </c:spPr>
            <c:trendlineType val="movingAvg"/>
            <c:period val="2"/>
            <c:dispRSqr val="0"/>
            <c:dispEq val="0"/>
          </c:trendline>
          <c:cat>
            <c:strRef>
              <c:f>'Task 6'!$A$22:$A$34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6'!$B$22:$B$34</c:f>
              <c:numCache>
                <c:formatCode>#,##0.0</c:formatCode>
                <c:ptCount val="12"/>
                <c:pt idx="0">
                  <c:v>256182</c:v>
                </c:pt>
                <c:pt idx="1">
                  <c:v>242667.83333333334</c:v>
                </c:pt>
                <c:pt idx="2">
                  <c:v>227335.6</c:v>
                </c:pt>
                <c:pt idx="3">
                  <c:v>292280</c:v>
                </c:pt>
                <c:pt idx="4">
                  <c:v>265169.75</c:v>
                </c:pt>
                <c:pt idx="5">
                  <c:v>195290.40740740742</c:v>
                </c:pt>
                <c:pt idx="6">
                  <c:v>231686.48148148149</c:v>
                </c:pt>
                <c:pt idx="7">
                  <c:v>195875.125</c:v>
                </c:pt>
                <c:pt idx="8">
                  <c:v>280302.75</c:v>
                </c:pt>
                <c:pt idx="9">
                  <c:v>216362.08333333334</c:v>
                </c:pt>
                <c:pt idx="10">
                  <c:v>245019</c:v>
                </c:pt>
                <c:pt idx="11">
                  <c:v>202944.73333333334</c:v>
                </c:pt>
              </c:numCache>
            </c:numRef>
          </c:val>
          <c:smooth val="0"/>
          <c:extLst>
            <c:ext xmlns:c16="http://schemas.microsoft.com/office/drawing/2014/chart" uri="{C3380CC4-5D6E-409C-BE32-E72D297353CC}">
              <c16:uniqueId val="{00000000-C1F2-4F09-8220-E773C57D828D}"/>
            </c:ext>
          </c:extLst>
        </c:ser>
        <c:dLbls>
          <c:showLegendKey val="0"/>
          <c:showVal val="0"/>
          <c:showCatName val="0"/>
          <c:showSerName val="0"/>
          <c:showPercent val="0"/>
          <c:showBubbleSize val="0"/>
        </c:dLbls>
        <c:marker val="1"/>
        <c:smooth val="0"/>
        <c:axId val="1445981919"/>
        <c:axId val="1445961535"/>
      </c:lineChart>
      <c:catAx>
        <c:axId val="144598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45961535"/>
        <c:crosses val="autoZero"/>
        <c:auto val="1"/>
        <c:lblAlgn val="ctr"/>
        <c:lblOffset val="100"/>
        <c:noMultiLvlLbl val="0"/>
      </c:catAx>
      <c:valAx>
        <c:axId val="1445961535"/>
        <c:scaling>
          <c:orientation val="minMax"/>
        </c:scaling>
        <c:delete val="0"/>
        <c:axPos val="l"/>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8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1270000" dist="50800" dir="5400000" sx="200000" sy="2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[Lucky Swiggy Project.xlsx]Task 6!PivotTable7</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2541282758066"/>
          <c:y val="0.14249781277340332"/>
          <c:w val="0.52698946104540279"/>
          <c:h val="0.45946449402158063"/>
        </c:manualLayout>
      </c:layout>
      <c:lineChart>
        <c:grouping val="standard"/>
        <c:varyColors val="0"/>
        <c:ser>
          <c:idx val="0"/>
          <c:order val="0"/>
          <c:tx>
            <c:strRef>
              <c:f>'Task 6'!$F$4</c:f>
              <c:strCache>
                <c:ptCount val="1"/>
                <c:pt idx="0">
                  <c:v> Net Follower Growth</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'Task 6'!$E$5:$E$18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Instagram</c:v>
                  </c:pt>
                </c:lvl>
              </c:multiLvlStrCache>
            </c:multiLvlStrRef>
          </c:cat>
          <c:val>
            <c:numRef>
              <c:f>'Task 6'!$F$5:$F$18</c:f>
              <c:numCache>
                <c:formatCode>General</c:formatCode>
                <c:ptCount val="12"/>
                <c:pt idx="0">
                  <c:v>1693</c:v>
                </c:pt>
                <c:pt idx="1">
                  <c:v>2752</c:v>
                </c:pt>
                <c:pt idx="2">
                  <c:v>3389</c:v>
                </c:pt>
                <c:pt idx="3">
                  <c:v>3363</c:v>
                </c:pt>
                <c:pt idx="4">
                  <c:v>3468</c:v>
                </c:pt>
                <c:pt idx="5">
                  <c:v>6051</c:v>
                </c:pt>
                <c:pt idx="6">
                  <c:v>7024</c:v>
                </c:pt>
                <c:pt idx="7">
                  <c:v>7117</c:v>
                </c:pt>
                <c:pt idx="8">
                  <c:v>5560</c:v>
                </c:pt>
                <c:pt idx="9">
                  <c:v>3573</c:v>
                </c:pt>
                <c:pt idx="10">
                  <c:v>3532</c:v>
                </c:pt>
                <c:pt idx="11">
                  <c:v>3516</c:v>
                </c:pt>
              </c:numCache>
            </c:numRef>
          </c:val>
          <c:smooth val="0"/>
          <c:extLst>
            <c:ext xmlns:c16="http://schemas.microsoft.com/office/drawing/2014/chart" uri="{C3380CC4-5D6E-409C-BE32-E72D297353CC}">
              <c16:uniqueId val="{00000000-3394-48B1-8317-392CDB47ADC9}"/>
            </c:ext>
          </c:extLst>
        </c:ser>
        <c:dLbls>
          <c:showLegendKey val="0"/>
          <c:showVal val="0"/>
          <c:showCatName val="0"/>
          <c:showSerName val="0"/>
          <c:showPercent val="0"/>
          <c:showBubbleSize val="0"/>
        </c:dLbls>
        <c:marker val="1"/>
        <c:smooth val="0"/>
        <c:axId val="1452999519"/>
        <c:axId val="1452980799"/>
      </c:lineChart>
      <c:lineChart>
        <c:grouping val="standard"/>
        <c:varyColors val="0"/>
        <c:ser>
          <c:idx val="1"/>
          <c:order val="1"/>
          <c:tx>
            <c:strRef>
              <c:f>'Task 6'!$G$4</c:f>
              <c:strCache>
                <c:ptCount val="1"/>
                <c:pt idx="0">
                  <c:v> Ad_Spend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'Task 6'!$E$5:$E$18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Instagram</c:v>
                  </c:pt>
                </c:lvl>
              </c:multiLvlStrCache>
            </c:multiLvlStrRef>
          </c:cat>
          <c:val>
            <c:numRef>
              <c:f>'Task 6'!$G$5:$G$18</c:f>
              <c:numCache>
                <c:formatCode>General</c:formatCode>
                <c:ptCount val="12"/>
                <c:pt idx="0">
                  <c:v>58855</c:v>
                </c:pt>
                <c:pt idx="1">
                  <c:v>57892</c:v>
                </c:pt>
                <c:pt idx="2">
                  <c:v>73741</c:v>
                </c:pt>
                <c:pt idx="3">
                  <c:v>60108</c:v>
                </c:pt>
                <c:pt idx="4">
                  <c:v>61392</c:v>
                </c:pt>
                <c:pt idx="5">
                  <c:v>160023</c:v>
                </c:pt>
                <c:pt idx="6">
                  <c:v>120585</c:v>
                </c:pt>
                <c:pt idx="7">
                  <c:v>107096</c:v>
                </c:pt>
                <c:pt idx="8">
                  <c:v>92491</c:v>
                </c:pt>
                <c:pt idx="9">
                  <c:v>77141</c:v>
                </c:pt>
                <c:pt idx="10">
                  <c:v>65963</c:v>
                </c:pt>
                <c:pt idx="11">
                  <c:v>100655</c:v>
                </c:pt>
              </c:numCache>
            </c:numRef>
          </c:val>
          <c:smooth val="0"/>
          <c:extLst>
            <c:ext xmlns:c16="http://schemas.microsoft.com/office/drawing/2014/chart" uri="{C3380CC4-5D6E-409C-BE32-E72D297353CC}">
              <c16:uniqueId val="{00000001-3394-48B1-8317-392CDB47ADC9}"/>
            </c:ext>
          </c:extLst>
        </c:ser>
        <c:dLbls>
          <c:showLegendKey val="0"/>
          <c:showVal val="0"/>
          <c:showCatName val="0"/>
          <c:showSerName val="0"/>
          <c:showPercent val="0"/>
          <c:showBubbleSize val="0"/>
        </c:dLbls>
        <c:marker val="1"/>
        <c:smooth val="0"/>
        <c:axId val="1452981215"/>
        <c:axId val="1453002431"/>
      </c:lineChart>
      <c:catAx>
        <c:axId val="14529995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Per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980799"/>
        <c:crosses val="autoZero"/>
        <c:auto val="1"/>
        <c:lblAlgn val="ctr"/>
        <c:lblOffset val="100"/>
        <c:noMultiLvlLbl val="0"/>
      </c:catAx>
      <c:valAx>
        <c:axId val="14529807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Follower Growth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999519"/>
        <c:crosses val="autoZero"/>
        <c:crossBetween val="between"/>
      </c:valAx>
      <c:valAx>
        <c:axId val="1453002431"/>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Ad_spend</a:t>
                </a:r>
              </a:p>
            </c:rich>
          </c:tx>
          <c:layout>
            <c:manualLayout>
              <c:xMode val="edge"/>
              <c:yMode val="edge"/>
              <c:x val="0.75766920348345579"/>
              <c:y val="0.2827161708953047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981215"/>
        <c:crosses val="max"/>
        <c:crossBetween val="between"/>
      </c:valAx>
      <c:catAx>
        <c:axId val="1452981215"/>
        <c:scaling>
          <c:orientation val="minMax"/>
        </c:scaling>
        <c:delete val="1"/>
        <c:axPos val="b"/>
        <c:numFmt formatCode="General" sourceLinked="1"/>
        <c:majorTickMark val="none"/>
        <c:minorTickMark val="none"/>
        <c:tickLblPos val="nextTo"/>
        <c:crossAx val="1453002431"/>
        <c:crosses val="autoZero"/>
        <c:auto val="1"/>
        <c:lblAlgn val="ctr"/>
        <c:lblOffset val="100"/>
        <c:noMultiLvlLbl val="0"/>
      </c:catAx>
      <c:spPr>
        <a:noFill/>
        <a:ln>
          <a:noFill/>
        </a:ln>
        <a:effectLst/>
      </c:spPr>
    </c:plotArea>
    <c:legend>
      <c:legendPos val="r"/>
      <c:layout>
        <c:manualLayout>
          <c:xMode val="edge"/>
          <c:yMode val="edge"/>
          <c:x val="0.83485432521771596"/>
          <c:y val="0.17990777194517349"/>
          <c:w val="0.162821174549834"/>
          <c:h val="0.55685075823855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640080</xdr:colOff>
      <xdr:row>10</xdr:row>
      <xdr:rowOff>179070</xdr:rowOff>
    </xdr:from>
    <xdr:to>
      <xdr:col>9</xdr:col>
      <xdr:colOff>586740</xdr:colOff>
      <xdr:row>25</xdr:row>
      <xdr:rowOff>179070</xdr:rowOff>
    </xdr:to>
    <xdr:graphicFrame macro="">
      <xdr:nvGraphicFramePr>
        <xdr:cNvPr id="8" name="Chart 7">
          <a:extLst>
            <a:ext uri="{FF2B5EF4-FFF2-40B4-BE49-F238E27FC236}">
              <a16:creationId xmlns:a16="http://schemas.microsoft.com/office/drawing/2014/main" id="{B77956DC-CF02-4409-9356-7DA768132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8</xdr:row>
      <xdr:rowOff>38100</xdr:rowOff>
    </xdr:from>
    <xdr:to>
      <xdr:col>10</xdr:col>
      <xdr:colOff>373380</xdr:colOff>
      <xdr:row>28</xdr:row>
      <xdr:rowOff>160020</xdr:rowOff>
    </xdr:to>
    <xdr:graphicFrame macro="">
      <xdr:nvGraphicFramePr>
        <xdr:cNvPr id="3" name="Chart 2">
          <a:extLst>
            <a:ext uri="{FF2B5EF4-FFF2-40B4-BE49-F238E27FC236}">
              <a16:creationId xmlns:a16="http://schemas.microsoft.com/office/drawing/2014/main" id="{620DAB88-D2E5-4BB9-9D1A-0E76B24F5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297180</xdr:colOff>
      <xdr:row>18</xdr:row>
      <xdr:rowOff>175260</xdr:rowOff>
    </xdr:from>
    <xdr:to>
      <xdr:col>9</xdr:col>
      <xdr:colOff>350520</xdr:colOff>
      <xdr:row>39</xdr:row>
      <xdr:rowOff>30480</xdr:rowOff>
    </xdr:to>
    <xdr:graphicFrame macro="">
      <xdr:nvGraphicFramePr>
        <xdr:cNvPr id="4" name="Chart 3">
          <a:extLst>
            <a:ext uri="{FF2B5EF4-FFF2-40B4-BE49-F238E27FC236}">
              <a16:creationId xmlns:a16="http://schemas.microsoft.com/office/drawing/2014/main" id="{43B16F71-847C-4B8C-8523-E83C61454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502920</xdr:colOff>
      <xdr:row>3</xdr:row>
      <xdr:rowOff>0</xdr:rowOff>
    </xdr:from>
    <xdr:to>
      <xdr:col>4</xdr:col>
      <xdr:colOff>7620</xdr:colOff>
      <xdr:row>16</xdr:row>
      <xdr:rowOff>89535</xdr:rowOff>
    </xdr:to>
    <mc:AlternateContent xmlns:mc="http://schemas.openxmlformats.org/markup-compatibility/2006" xmlns:a14="http://schemas.microsoft.com/office/drawing/2010/main">
      <mc:Choice Requires="a14">
        <xdr:graphicFrame macro="">
          <xdr:nvGraphicFramePr>
            <xdr:cNvPr id="6" name="Platform">
              <a:extLst>
                <a:ext uri="{FF2B5EF4-FFF2-40B4-BE49-F238E27FC236}">
                  <a16:creationId xmlns:a16="http://schemas.microsoft.com/office/drawing/2014/main" id="{8A8BC5B0-E83D-4D56-B044-C4EECFD04AE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86512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106680</xdr:colOff>
      <xdr:row>2</xdr:row>
      <xdr:rowOff>110490</xdr:rowOff>
    </xdr:from>
    <xdr:to>
      <xdr:col>14</xdr:col>
      <xdr:colOff>403860</xdr:colOff>
      <xdr:row>17</xdr:row>
      <xdr:rowOff>110490</xdr:rowOff>
    </xdr:to>
    <xdr:graphicFrame macro="">
      <xdr:nvGraphicFramePr>
        <xdr:cNvPr id="7" name="Chart 6">
          <a:extLst>
            <a:ext uri="{FF2B5EF4-FFF2-40B4-BE49-F238E27FC236}">
              <a16:creationId xmlns:a16="http://schemas.microsoft.com/office/drawing/2014/main" id="{0FED5620-5CCE-495E-B3C9-5D4FC6C02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refreshedDate="45924.785772685187" backgroundQuery="1" createdVersion="7" refreshedVersion="7" minRefreshableVersion="3" recordCount="0" supportSubquery="1" supportAdvancedDrill="1" xr:uid="{9B6E2261-886A-4C47-96F4-5378E89A07C4}">
  <cacheSource type="external" connectionId="4"/>
  <cacheFields count="2">
    <cacheField name="[Engagement_Summary].[Platform].[Platform]" caption="Platform" numFmtId="0" hierarchy="1" level="1">
      <sharedItems count="3">
        <s v="Instagram"/>
        <s v="Twitter"/>
        <s v="YouTube"/>
      </sharedItems>
    </cacheField>
    <cacheField name="[Measures].[Sum of ROI]" caption="Sum of ROI" numFmtId="0" hierarchy="41" level="32767"/>
  </cacheFields>
  <cacheHierarchies count="44">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2" memberValueDatatype="130" unbalanced="0">
      <fieldsUsage count="2">
        <fieldUsage x="-1"/>
        <fieldUsage x="0"/>
      </fieldsUsage>
    </cacheHierarchy>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20" unbalanced="0"/>
    <cacheHierarchy uniqueName="[Engagement_Summary].[ROI]" caption="ROI" attribute="1" defaultMemberUniqueName="[Engagement_Summary].[ROI].[All]" allUniqueName="[Engagement_Summary].[ROI].[All]" dimensionUniqueName="[Engagement_Summary]" displayFolder="" count="0" memberValueDatatype="5" unbalanced="0"/>
    <cacheHierarchy uniqueName="[Engagement_Summary].[Net Follower Growth]" caption="Net Follower Growth" attribute="1" defaultMemberUniqueName="[Engagement_Summary].[Net Follower Growth].[All]" allUniqueName="[Engagement_Summary].[Net Follower Growth].[All]" dimensionUniqueName="[Engagement_Summary]" displayFolder="" count="0" memberValueDatatype="20" unbalanced="0"/>
    <cacheHierarchy uniqueName="[Engagement_Summary].[Campaign]" caption="Campaign" attribute="1" defaultMemberUniqueName="[Engagement_Summary].[Campaign].[All]" allUniqueName="[Engagement_Summary].[Campaign].[All]" dimensionUniqueName="[Engagement_Summary]" displayFolder="" count="0" memberValueDatatype="130" unbalanced="0"/>
    <cacheHierarchy uniqueName="[Posts].[Post ID]" caption="Post ID" attribute="1" defaultMemberUniqueName="[Posts].[Post ID].[All]" allUniqueName="[Posts].[Post 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 Type]" caption="Content Type" attribute="1" defaultMemberUniqueName="[Posts].[Content Type].[All]" allUniqueName="[Posts].[Content Type].[All]" dimensionUniqueName="[Posts]" displayFolder="" count="0" memberValueDatatype="130" unbalanced="0"/>
    <cacheHierarchy uniqueName="[Posts].[Post Text]" caption="Post Text" attribute="1" defaultMemberUniqueName="[Posts].[Post Text].[All]" allUniqueName="[Posts].[Post Text].[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Hashtags Used.1]" caption="Hashtags Used.1" attribute="1" defaultMemberUniqueName="[Posts].[Hashtags Used.1].[All]" allUniqueName="[Posts].[Hashtags Used.1].[All]" dimensionUniqueName="[Posts]" displayFolder="" count="0" memberValueDatatype="130" unbalanced="0"/>
    <cacheHierarchy uniqueName="[Posts].[Hashtags Used.2]" caption="Hashtags Used.2" attribute="1" defaultMemberUniqueName="[Posts].[Hashtags Used.2].[All]" allUniqueName="[Posts].[Hashtags Used.2].[All]" dimensionUniqueName="[Posts]" displayFolder="" count="0" memberValueDatatype="130" unbalanced="0"/>
    <cacheHierarchy uniqueName="[Posts].[Campaign_Name]" caption="Campaign_Name" attribute="1" defaultMemberUniqueName="[Posts].[Campaign_Name].[All]" allUniqueName="[Posts].[Campaign_Name].[All]" dimensionUniqueName="[Posts]" displayFolder="" count="0" memberValueDatatype="130" unbalanced="0"/>
    <cacheHierarchy uniqueName="[Posts].[period]" caption="period" attribute="1" defaultMemberUniqueName="[Posts].[period].[All]" allUniqueName="[Posts].[period].[All]" dimensionUniqueName="[Posts]" displayFolder="" count="0" memberValueDatatype="130" unbalanced="0"/>
    <cacheHierarchy uniqueName="[Posts].[Avg. Before]" caption="Avg. Before" attribute="1" defaultMemberUniqueName="[Posts].[Avg. Before].[All]" allUniqueName="[Posts].[Avg. Before].[All]" dimensionUniqueName="[Posts]" displayFolder="" count="0" memberValueDatatype="5" unbalanced="0"/>
    <cacheHierarchy uniqueName="[Posts].[Avg. During]" caption="Avg. During" attribute="1" defaultMemberUniqueName="[Posts].[Avg. During].[All]" allUniqueName="[Posts].[Avg. During].[All]" dimensionUniqueName="[Posts]" displayFolder="" count="0" memberValueDatatype="130" unbalanced="0"/>
    <cacheHierarchy uniqueName="[Posts].[calculate uplift %]" caption="calculate uplift %" attribute="1" defaultMemberUniqueName="[Posts].[calculate uplift %].[All]" allUniqueName="[Posts].[calculate uplift %].[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Measures].[__XL_Count Posts]" caption="__XL_Count Posts" measure="1" displayFolder="" measureGroup="Posts"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engagement rate]" caption="Sum of engagement rate" measure="1" displayFolder="" measureGroup="Posts" count="0" hidden="1">
      <extLst>
        <ext xmlns:x15="http://schemas.microsoft.com/office/spreadsheetml/2010/11/main" uri="{B97F6D7D-B522-45F9-BDA1-12C45D357490}">
          <x15:cacheHierarchy aggregatedColumn="28"/>
        </ext>
      </extLst>
    </cacheHierarchy>
    <cacheHierarchy uniqueName="[Measures].[Sum of Avg. Before]" caption="Sum of Avg. Before" measure="1" displayFolder="" measureGroup="Posts" count="0" hidden="1">
      <extLst>
        <ext xmlns:x15="http://schemas.microsoft.com/office/spreadsheetml/2010/11/main" uri="{B97F6D7D-B522-45F9-BDA1-12C45D357490}">
          <x15:cacheHierarchy aggregatedColumn="25"/>
        </ext>
      </extLst>
    </cacheHierarchy>
    <cacheHierarchy uniqueName="[Measures].[Average of Avg. Before]" caption="Average of Avg. Before" measure="1" displayFolder="" measureGroup="Posts" count="0" hidden="1">
      <extLst>
        <ext xmlns:x15="http://schemas.microsoft.com/office/spreadsheetml/2010/11/main" uri="{B97F6D7D-B522-45F9-BDA1-12C45D357490}">
          <x15:cacheHierarchy aggregatedColumn="25"/>
        </ext>
      </extLst>
    </cacheHierarchy>
    <cacheHierarchy uniqueName="[Measures].[Sum of Impressions]" caption="Sum of Impressions" measure="1" displayFolder="" measureGroup="Posts" count="0" hidden="1">
      <extLst>
        <ext xmlns:x15="http://schemas.microsoft.com/office/spreadsheetml/2010/11/main" uri="{B97F6D7D-B522-45F9-BDA1-12C45D357490}">
          <x15:cacheHierarchy aggregatedColumn="18"/>
        </ext>
      </extLst>
    </cacheHierarchy>
    <cacheHierarchy uniqueName="[Measures].[Average of Impressions]" caption="Average of Impressions" measure="1" displayFolder="" measureGroup="Posts" count="0" hidden="1">
      <extLst>
        <ext xmlns:x15="http://schemas.microsoft.com/office/spreadsheetml/2010/11/main" uri="{B97F6D7D-B522-45F9-BDA1-12C45D357490}">
          <x15:cacheHierarchy aggregatedColumn="18"/>
        </ext>
      </extLst>
    </cacheHierarchy>
    <cacheHierarchy uniqueName="[Measures].[Sum of Likes]" caption="Sum of Likes" measure="1" displayFolder="" measureGroup="Posts" count="0" hidden="1">
      <extLst>
        <ext xmlns:x15="http://schemas.microsoft.com/office/spreadsheetml/2010/11/main" uri="{B97F6D7D-B522-45F9-BDA1-12C45D357490}">
          <x15:cacheHierarchy aggregatedColumn="15"/>
        </ext>
      </extLst>
    </cacheHierarchy>
    <cacheHierarchy uniqueName="[Measures].[Average of Likes]" caption="Average of Likes" measure="1" displayFolder="" measureGroup="Posts"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Posts" count="0" hidden="1">
      <extLst>
        <ext xmlns:x15="http://schemas.microsoft.com/office/spreadsheetml/2010/11/main" uri="{B97F6D7D-B522-45F9-BDA1-12C45D357490}">
          <x15:cacheHierarchy aggregatedColumn="20"/>
        </ext>
      </extLst>
    </cacheHierarchy>
    <cacheHierarchy uniqueName="[Measures].[Average of Clicks]" caption="Average of Clicks" measure="1" displayFolder="" measureGroup="Posts" count="0" hidden="1">
      <extLst>
        <ext xmlns:x15="http://schemas.microsoft.com/office/spreadsheetml/2010/11/main" uri="{B97F6D7D-B522-45F9-BDA1-12C45D357490}">
          <x15:cacheHierarchy aggregatedColumn="20"/>
        </ext>
      </extLst>
    </cacheHierarchy>
    <cacheHierarchy uniqueName="[Measures].[Sum of ROI]" caption="Sum of ROI" measure="1" displayFolder="" measureGroup="Engagement_Summary"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ROI]" caption="Average of ROI" measure="1" displayFolder="" measureGroup="Engagement_Summary" count="0" hidden="1">
      <extLst>
        <ext xmlns:x15="http://schemas.microsoft.com/office/spreadsheetml/2010/11/main" uri="{B97F6D7D-B522-45F9-BDA1-12C45D357490}">
          <x15:cacheHierarchy aggregatedColumn="7"/>
        </ext>
      </extLst>
    </cacheHierarchy>
    <cacheHierarchy uniqueName="[Measures].[Sum of Net Follower Growth]" caption="Sum of Net Follower Growth" measure="1" displayFolder="" measureGroup="Engagement_Summary" count="0" hidden="1">
      <extLst>
        <ext xmlns:x15="http://schemas.microsoft.com/office/spreadsheetml/2010/11/main" uri="{B97F6D7D-B522-45F9-BDA1-12C45D357490}">
          <x15:cacheHierarchy aggregatedColumn="8"/>
        </ext>
      </extLst>
    </cacheHierarchy>
  </cacheHierarchies>
  <kpis count="0"/>
  <dimensions count="3">
    <dimension name="Engagement_Summary" uniqueName="[Engagement_Summary]" caption="Engagement_Summary"/>
    <dimension measure="1" name="Measures" uniqueName="[Measures]" caption="Measures"/>
    <dimension name="Posts" uniqueName="[Posts]" caption="Posts"/>
  </dimensions>
  <measureGroups count="2">
    <measureGroup name="Engagement_Summary" caption="Engagement_Summary"/>
    <measureGroup name="Posts" caption="Post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refreshedDate="45924.785772916664" createdVersion="7" refreshedVersion="7" minRefreshableVersion="3" recordCount="200" xr:uid="{D147A624-737E-4FBA-8700-CE048940A9F5}">
  <cacheSource type="worksheet">
    <worksheetSource name="Engagement_Summary"/>
  </cacheSource>
  <cacheFields count="11">
    <cacheField name="Week_Start_Date" numFmtId="1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base="0">
        <rangePr groupBy="months" startDate="2024-06-03T00:00:00" endDate="2025-09-09T00:00:00"/>
        <groupItems count="14">
          <s v="&lt;03-06-2024"/>
          <s v="Jan"/>
          <s v="Feb"/>
          <s v="Mar"/>
          <s v="Apr"/>
          <s v="May"/>
          <s v="Jun"/>
          <s v="Jul"/>
          <s v="Aug"/>
          <s v="Sep"/>
          <s v="Oct"/>
          <s v="Nov"/>
          <s v="Dec"/>
          <s v="&gt;09-09-2025"/>
        </groupItems>
      </fieldGroup>
    </cacheField>
    <cacheField name="Platform" numFmtId="0">
      <sharedItems count="3">
        <s v="Instagram"/>
        <s v="Twitter"/>
        <s v="YouTube"/>
      </sharedItems>
    </cacheField>
    <cacheField name="New_Followers" numFmtId="0">
      <sharedItems containsSemiMixedTypes="0" containsString="0" containsNumber="1" containsInteger="1" minValue="503" maxValue="1490"/>
    </cacheField>
    <cacheField name="Unfollows" numFmtId="0">
      <sharedItems containsSemiMixedTypes="0" containsString="0" containsNumber="1" containsInteger="1" minValue="50" maxValue="296"/>
    </cacheField>
    <cacheField name="Total_Followers" numFmtId="0">
      <sharedItems containsSemiMixedTypes="0" containsString="0" containsNumber="1" containsInteger="1" minValue="61445" maxValue="397607"/>
    </cacheField>
    <cacheField name="Engagement_Rate" numFmtId="0">
      <sharedItems containsSemiMixedTypes="0" containsString="0" containsNumber="1" minValue="3.08" maxValue="9.99"/>
    </cacheField>
    <cacheField name="Ad_Spend" numFmtId="0">
      <sharedItems containsSemiMixedTypes="0" containsString="0" containsNumber="1" containsInteger="1" minValue="5281" maxValue="27829"/>
    </cacheField>
    <cacheField name="ROI" numFmtId="168">
      <sharedItems containsSemiMixedTypes="0" containsString="0" containsNumber="1" minValue="1.2683313515655966E-2" maxValue="0.15508474576271186"/>
    </cacheField>
    <cacheField name="Net Follower Growth" numFmtId="0">
      <sharedItems containsSemiMixedTypes="0" containsString="0" containsNumber="1" containsInteger="1" minValue="250" maxValue="1397"/>
    </cacheField>
    <cacheField name="Campaign" numFmtId="0">
      <sharedItems/>
    </cacheField>
    <cacheField name="Grouth rate" numFmtId="0" formula="Unfollows-New_Followers" databaseField="0"/>
  </cacheFields>
  <extLst>
    <ext xmlns:x14="http://schemas.microsoft.com/office/spreadsheetml/2009/9/main" uri="{725AE2AE-9491-48be-B2B4-4EB974FC3084}">
      <x14:pivotCacheDefinition pivotCacheId="11200502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refreshedDate="45924.785774189811" createdVersion="7" refreshedVersion="7" minRefreshableVersion="3" recordCount="299" xr:uid="{877EFE3D-0BDD-4728-B84D-262F9B73F762}">
  <cacheSource type="worksheet">
    <worksheetSource name="Posts"/>
  </cacheSource>
  <cacheFields count="20">
    <cacheField name="Post ID" numFmtId="0">
      <sharedItems count="299">
        <s v="SP001"/>
        <s v="SP002"/>
        <s v="SP003"/>
        <s v="SP004"/>
        <s v="SP005"/>
        <s v="SP006"/>
        <s v="SP007"/>
        <s v="SP008"/>
        <s v="SP009"/>
        <s v="SP010"/>
        <s v="SP011"/>
        <s v="SP012"/>
        <s v="SP013"/>
        <s v="SP014"/>
        <s v="SP015"/>
        <s v="SP016"/>
        <s v="SP017"/>
        <s v="SP018"/>
        <s v="SP019"/>
        <s v="SP020"/>
        <s v="SP021"/>
        <s v="SP022"/>
        <s v="SP023"/>
        <s v="SP024"/>
        <s v="SP025"/>
        <s v="SP026"/>
        <s v="SP027"/>
        <s v="SP028"/>
        <s v="SP029"/>
        <s v="SP030"/>
        <s v="SP031"/>
        <s v="SP032"/>
        <s v="SP033"/>
        <s v="SP034"/>
        <s v="SP035"/>
        <s v="SP036"/>
        <s v="SP037"/>
        <s v="SP038"/>
        <s v="SP039"/>
        <s v="SP040"/>
        <s v="SP041"/>
        <s v="SP042"/>
        <s v="SP043"/>
        <s v="SP044"/>
        <s v="SP045"/>
        <s v="SP046"/>
        <s v="SP047"/>
        <s v="SP048"/>
        <s v="SP049"/>
        <s v="SP050"/>
        <s v="SP051"/>
        <s v="SP052"/>
        <s v="SP053"/>
        <s v="SP054"/>
        <s v="SP055"/>
        <s v="SP056"/>
        <s v="SP057"/>
        <s v="SP058"/>
        <s v="SP059"/>
        <s v="SP060"/>
        <s v="SP061"/>
        <s v="SP062"/>
        <s v="SP063"/>
        <s v="SP064"/>
        <s v="SP065"/>
        <s v="SP066"/>
        <s v="SP067"/>
        <s v="SP068"/>
        <s v="SP069"/>
        <s v="SP070"/>
        <s v="SP071"/>
        <s v="SP072"/>
        <s v="SP073"/>
        <s v="SP074"/>
        <s v="SP075"/>
        <s v="SP076"/>
        <s v="SP077"/>
        <s v="SP078"/>
        <s v="SP079"/>
        <s v="SP080"/>
        <s v="SP081"/>
        <s v="SP082"/>
        <s v="SP083"/>
        <s v="SP084"/>
        <s v="SP085"/>
        <s v="SP086"/>
        <s v="SP087"/>
        <s v="SP088"/>
        <s v="SP089"/>
        <s v="SP090"/>
        <s v="SP091"/>
        <s v="SP092"/>
        <s v="SP093"/>
        <s v="SP094"/>
        <s v="SP095"/>
        <s v="SP096"/>
        <s v="SP097"/>
        <s v="SP098"/>
        <s v="SP099"/>
        <s v="SP100"/>
        <s v="SP101"/>
        <s v="SP102"/>
        <s v="SP103"/>
        <s v="SP104"/>
        <s v="SP105"/>
        <s v="SP106"/>
        <s v="SP107"/>
        <s v="SP108"/>
        <s v="SP109"/>
        <s v="SP110"/>
        <s v="SP111"/>
        <s v="SP112"/>
        <s v="SP113"/>
        <s v="SP114"/>
        <s v="SP115"/>
        <s v="SP116"/>
        <s v="SP117"/>
        <s v="SP118"/>
        <s v="SP119"/>
        <s v="SP120"/>
        <s v="SP121"/>
        <s v="SP122"/>
        <s v="SP123"/>
        <s v="SP124"/>
        <s v="SP125"/>
        <s v="SP126"/>
        <s v="SP127"/>
        <s v="SP128"/>
        <s v="SP129"/>
        <s v="SP130"/>
        <s v="SP131"/>
        <s v="SP132"/>
        <s v="SP133"/>
        <s v="SP134"/>
        <s v="SP135"/>
        <s v="SP136"/>
        <s v="SP137"/>
        <s v="SP138"/>
        <s v="SP139"/>
        <s v="SP140"/>
        <s v="SP141"/>
        <s v="SP142"/>
        <s v="SP143"/>
        <s v="SP144"/>
        <s v="SP145"/>
        <s v="SP146"/>
        <s v="SP147"/>
        <s v="SP148"/>
        <s v="SP149"/>
        <s v="SP150"/>
        <s v="SP151"/>
        <s v="SP152"/>
        <s v="SP153"/>
        <s v="SP154"/>
        <s v="SP155"/>
        <s v="SP156"/>
        <s v="SP157"/>
        <s v="SP158"/>
        <s v="SP159"/>
        <s v="SP160"/>
        <s v="SP161"/>
        <s v="SP162"/>
        <s v="SP163"/>
        <s v="SP164"/>
        <s v="SP165"/>
        <s v="SP166"/>
        <s v="SP167"/>
        <s v="SP168"/>
        <s v="SP169"/>
        <s v="SP170"/>
        <s v="SP171"/>
        <s v="SP172"/>
        <s v="SP173"/>
        <s v="SP174"/>
        <s v="SP175"/>
        <s v="SP176"/>
        <s v="SP177"/>
        <s v="SP178"/>
        <s v="SP179"/>
        <s v="SP180"/>
        <s v="SP181"/>
        <s v="SP182"/>
        <s v="SP183"/>
        <s v="SP184"/>
        <s v="SP185"/>
        <s v="SP186"/>
        <s v="SP187"/>
        <s v="SP188"/>
        <s v="SP189"/>
        <s v="SP190"/>
        <s v="SP191"/>
        <s v="SP192"/>
        <s v="SP193"/>
        <s v="SP194"/>
        <s v="SP195"/>
        <s v="SP196"/>
        <s v="SP197"/>
        <s v="SP198"/>
        <s v="SP199"/>
        <s v="SP200"/>
        <s v="SP201"/>
        <s v="SP202"/>
        <s v="SP203"/>
        <s v="SP204"/>
        <s v="SP205"/>
        <s v="SP206"/>
        <s v="SP207"/>
        <s v="SP208"/>
        <s v="SP209"/>
        <s v="SP210"/>
        <s v="SP211"/>
        <s v="SP212"/>
        <s v="SP213"/>
        <s v="SP214"/>
        <s v="SP215"/>
        <s v="SP216"/>
        <s v="SP217"/>
        <s v="SP218"/>
        <s v="SP219"/>
        <s v="SP220"/>
        <s v="SP221"/>
        <s v="SP222"/>
        <s v="SP223"/>
        <s v="SP224"/>
        <s v="SP225"/>
        <s v="SP226"/>
        <s v="SP227"/>
        <s v="SP228"/>
        <s v="SP229"/>
        <s v="SP230"/>
        <s v="SP231"/>
        <s v="SP232"/>
        <s v="SP233"/>
        <s v="SP234"/>
        <s v="SP235"/>
        <s v="SP236"/>
        <s v="SP237"/>
        <s v="SP238"/>
        <s v="SP239"/>
        <s v="SP240"/>
        <s v="SP241"/>
        <s v="SP242"/>
        <s v="SP243"/>
        <s v="SP244"/>
        <s v="SP245"/>
        <s v="SP246"/>
        <s v="SP247"/>
        <s v="SP248"/>
        <s v="SP249"/>
        <s v="SP250"/>
        <s v="SP251"/>
        <s v="SP252"/>
        <s v="SP253"/>
        <s v="SP254"/>
        <s v="SP255"/>
        <s v="SP256"/>
        <s v="SP257"/>
        <s v="SP258"/>
        <s v="SP259"/>
        <s v="SP260"/>
        <s v="SP261"/>
        <s v="SP262"/>
        <s v="SP263"/>
        <s v="SP264"/>
        <s v="SP265"/>
        <s v="SP266"/>
        <s v="SP267"/>
        <s v="SP268"/>
        <s v="SP269"/>
        <s v="SP270"/>
        <s v="SP271"/>
        <s v="SP272"/>
        <s v="SP273"/>
        <s v="SP274"/>
        <s v="SP275"/>
        <s v="SP276"/>
        <s v="SP277"/>
        <s v="SP278"/>
        <s v="SP279"/>
        <s v="SP280"/>
        <s v="SP281"/>
        <s v="SP282"/>
        <s v="SP283"/>
        <s v="SP284"/>
        <s v="SP285"/>
        <s v="SP286"/>
        <s v="SP287"/>
        <s v="SP288"/>
        <s v="SP289"/>
        <s v="SP290"/>
        <s v="SP291"/>
        <s v="SP292"/>
        <s v="SP293"/>
        <s v="SP294"/>
        <s v="SP295"/>
        <s v="SP296"/>
        <s v="SP297"/>
        <s v="SP298"/>
        <s v="SP299"/>
      </sharedItems>
    </cacheField>
    <cacheField name="Platform" numFmtId="0">
      <sharedItems count="3">
        <s v="Instagram"/>
        <s v="Twitter"/>
        <s v="YouTube"/>
      </sharedItems>
    </cacheField>
    <cacheField name="Date" numFmtId="1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ount="10">
        <s v="Discover fresh beats on Spotify!"/>
        <s v="Explore the latest podcasts now."/>
        <s v="New music just dropped. Hit play!"/>
        <s v="Wrapped is here! Relive your top tracks ðŸŽ§"/>
        <s v="Music that moves youâ€”only on Spotify."/>
        <s v="Whatâ€™s your vibe today? #SpotifyHits"/>
        <s v="Get into the groove with our new drop!"/>
        <s v="Top trending tracks updated daily!"/>
        <s v="From pop to podcasts, itâ€™s all here."/>
        <s v="Your weekend playlist is waiting."/>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1" numFmtId="0">
      <sharedItems count="4">
        <s v="#SoundtrackOfLife"/>
        <s v="#DiscoverWeekly"/>
        <s v="#MusicForEveryone"/>
        <s v="#NowPlaying"/>
      </sharedItems>
    </cacheField>
    <cacheField name="Hashtags Used.2" numFmtId="0">
      <sharedItems count="5">
        <s v="#NowPlaying"/>
        <s v="Null"/>
        <s v="#SpotifyWrapped"/>
        <s v="#MusicForEveryone"/>
        <s v="#SoundtrackOfLife"/>
      </sharedItems>
    </cacheField>
    <cacheField name="Campaign_Name" numFmtId="0">
      <sharedItems/>
    </cacheField>
    <cacheField name="period" numFmtId="0">
      <sharedItems/>
    </cacheField>
    <cacheField name="Avg. Before" numFmtId="164">
      <sharedItems containsSemiMixedTypes="0" containsString="0" containsNumber="1" minValue="6.0444134673094423" maxValue="9.7610068917312969"/>
    </cacheField>
    <cacheField name="Avg. During" numFmtId="164">
      <sharedItems containsMixedTypes="1" containsNumber="1" minValue="4.1144972000850561" maxValue="16.561239103745251"/>
    </cacheField>
    <cacheField name="calculate uplift %" numFmtId="164">
      <sharedItems containsMixedTypes="1" containsNumber="1" minValue="3.1144972000850561" maxValue="15.561239103745251"/>
    </cacheField>
    <cacheField name="engagement rate" numFmtId="164">
      <sharedItems containsSemiMixedTypes="0" containsString="0" containsNumber="1" minValue="2.913346148821411" maxValue="27.086143765658122"/>
    </cacheField>
    <cacheField name="Engaement Rate" numFmtId="0" formula=" ((Likes+Shares+Comments)/Impressions) * 100"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refreshedDate="45924.831733101855" createdVersion="7" refreshedVersion="7" minRefreshableVersion="3" recordCount="299" xr:uid="{E4EC499C-0AA7-4BCD-8165-E98CB358D2BF}">
  <cacheSource type="worksheet">
    <worksheetSource name="Posts[[Likes]:[engagement rate]]"/>
  </cacheSource>
  <cacheFields count="16">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1" numFmtId="0">
      <sharedItems/>
    </cacheField>
    <cacheField name="Hashtags Used.2" numFmtId="0">
      <sharedItems/>
    </cacheField>
    <cacheField name="Campaign_Name" numFmtId="0">
      <sharedItems count="4">
        <s v="ChillVibes"/>
        <s v="IndieWave"/>
        <s v="Wrapped2024"/>
        <s v="SummerBeats"/>
      </sharedItems>
    </cacheField>
    <cacheField name="period" numFmtId="0">
      <sharedItems/>
    </cacheField>
    <cacheField name="Avg. Before" numFmtId="164">
      <sharedItems containsSemiMixedTypes="0" containsString="0" containsNumber="1" minValue="6.0444134673094423" maxValue="9.7610068917312969"/>
    </cacheField>
    <cacheField name="Avg. During" numFmtId="164">
      <sharedItems containsSemiMixedTypes="0" containsString="0" containsNumber="1" minValue="4.1144972000850561" maxValue="16.561239103745251"/>
    </cacheField>
    <cacheField name="calculate uplift %" numFmtId="164">
      <sharedItems containsSemiMixedTypes="0" containsString="0" containsNumber="1" minValue="3.1144972000850561" maxValue="15.561239103745251"/>
    </cacheField>
    <cacheField name="engagement rate" numFmtId="164">
      <sharedItems containsSemiMixedTypes="0" containsString="0" containsNumber="1" minValue="2.913346148821411" maxValue="27.086143765658122"/>
    </cacheField>
    <cacheField name="Grouth rate" numFmtId="0" formula="#NAME?-#NAME?" databaseField="0"/>
    <cacheField name="Uplift %" numFmtId="0" formula="'Avg. Before'-'Avg. During'/'Avg. Before'"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refreshedDate="45924.942654166669" backgroundQuery="1" createdVersion="7" refreshedVersion="7" minRefreshableVersion="3" recordCount="0" supportSubquery="1" supportAdvancedDrill="1" xr:uid="{6686ADA1-53DF-4D5B-B3E7-E6A64E276829}">
  <cacheSource type="external" connectionId="4"/>
  <cacheFields count="7">
    <cacheField name="[Posts].[Campaign_Name].[Campaign_Name]" caption="Campaign_Name" numFmtId="0" hierarchy="23" level="1">
      <sharedItems count="4">
        <s v="ChillVibes"/>
        <s v="IndieWave"/>
        <s v="SummerBeats"/>
        <s v="Wrapped2024"/>
      </sharedItems>
    </cacheField>
    <cacheField name="[Measures].[Sum of Impressions]" caption="Sum of Impressions" numFmtId="0" hierarchy="35" level="32767"/>
    <cacheField name="[Measures].[Sum of Likes]" caption="Sum of Likes" numFmtId="0" hierarchy="37" level="32767"/>
    <cacheField name="[Measures].[Average of Likes]" caption="Average of Likes" numFmtId="0" hierarchy="38" level="32767"/>
    <cacheField name="[Measures].[Sum of Clicks]" caption="Sum of Clicks" numFmtId="0" hierarchy="39" level="32767"/>
    <cacheField name="[Measures].[Average of Clicks]" caption="Average of Clicks" numFmtId="0" hierarchy="40" level="32767"/>
    <cacheField name="[Measures].[Average of Impressions]" caption="Average of Impressions" numFmtId="0" hierarchy="36" level="32767"/>
  </cacheFields>
  <cacheHierarchies count="44">
    <cacheHierarchy uniqueName="[Engagement_Summary].[Week_Start_Date]" caption="Week_Start_Date" attribute="1" time="1" defaultMemberUniqueName="[Engagement_Summary].[Week_Start_Date].[All]" allUniqueName="[Engagement_Summary].[Week_Start_Date].[All]" dimensionUniqueName="[Engagement_Summary]" displayFolder="" count="0" memberValueDatatype="7" unbalanced="0"/>
    <cacheHierarchy uniqueName="[Engagement_Summary].[Platform]" caption="Platform" attribute="1" defaultMemberUniqueName="[Engagement_Summary].[Platform].[All]" allUniqueName="[Engagement_Summary].[Platform].[All]" dimensionUniqueName="[Engagement_Summary]" displayFolder="" count="0" memberValueDatatype="130" unbalanced="0"/>
    <cacheHierarchy uniqueName="[Engagement_Summary].[New_Followers]" caption="New_Followers" attribute="1" defaultMemberUniqueName="[Engagement_Summary].[New_Followers].[All]" allUniqueName="[Engagement_Summary].[New_Followers].[All]" dimensionUniqueName="[Engagement_Summary]" displayFolder="" count="0" memberValueDatatype="20" unbalanced="0"/>
    <cacheHierarchy uniqueName="[Engagement_Summary].[Unfollows]" caption="Unfollows" attribute="1" defaultMemberUniqueName="[Engagement_Summary].[Unfollows].[All]" allUniqueName="[Engagement_Summary].[Unfollows].[All]" dimensionUniqueName="[Engagement_Summary]" displayFolder="" count="0" memberValueDatatype="20" unbalanced="0"/>
    <cacheHierarchy uniqueName="[Engagement_Summary].[Total_Followers]" caption="Total_Followers" attribute="1" defaultMemberUniqueName="[Engagement_Summary].[Total_Followers].[All]" allUniqueName="[Engagement_Summary].[Total_Followers].[All]" dimensionUniqueName="[Engagement_Summary]" displayFolder="" count="0" memberValueDatatype="20" unbalanced="0"/>
    <cacheHierarchy uniqueName="[Engagement_Summary].[Engagement_Rate]" caption="Engagement_Rate" attribute="1" defaultMemberUniqueName="[Engagement_Summary].[Engagement_Rate].[All]" allUniqueName="[Engagement_Summary].[Engagement_Rate].[All]" dimensionUniqueName="[Engagement_Summary]" displayFolder="" count="0" memberValueDatatype="5" unbalanced="0"/>
    <cacheHierarchy uniqueName="[Engagement_Summary].[Ad_Spend]" caption="Ad_Spend" attribute="1" defaultMemberUniqueName="[Engagement_Summary].[Ad_Spend].[All]" allUniqueName="[Engagement_Summary].[Ad_Spend].[All]" dimensionUniqueName="[Engagement_Summary]" displayFolder="" count="0" memberValueDatatype="20" unbalanced="0"/>
    <cacheHierarchy uniqueName="[Engagement_Summary].[ROI]" caption="ROI" attribute="1" defaultMemberUniqueName="[Engagement_Summary].[ROI].[All]" allUniqueName="[Engagement_Summary].[ROI].[All]" dimensionUniqueName="[Engagement_Summary]" displayFolder="" count="0" memberValueDatatype="5" unbalanced="0"/>
    <cacheHierarchy uniqueName="[Engagement_Summary].[Net Follower Growth]" caption="Net Follower Growth" attribute="1" defaultMemberUniqueName="[Engagement_Summary].[Net Follower Growth].[All]" allUniqueName="[Engagement_Summary].[Net Follower Growth].[All]" dimensionUniqueName="[Engagement_Summary]" displayFolder="" count="0" memberValueDatatype="20" unbalanced="0"/>
    <cacheHierarchy uniqueName="[Engagement_Summary].[Campaign]" caption="Campaign" attribute="1" defaultMemberUniqueName="[Engagement_Summary].[Campaign].[All]" allUniqueName="[Engagement_Summary].[Campaign].[All]" dimensionUniqueName="[Engagement_Summary]" displayFolder="" count="0" memberValueDatatype="130" unbalanced="0"/>
    <cacheHierarchy uniqueName="[Posts].[Post ID]" caption="Post ID" attribute="1" defaultMemberUniqueName="[Posts].[Post ID].[All]" allUniqueName="[Posts].[Post 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 Type]" caption="Content Type" attribute="1" defaultMemberUniqueName="[Posts].[Content Type].[All]" allUniqueName="[Posts].[Content Type].[All]" dimensionUniqueName="[Posts]" displayFolder="" count="0" memberValueDatatype="130" unbalanced="0"/>
    <cacheHierarchy uniqueName="[Posts].[Post Text]" caption="Post Text" attribute="1" defaultMemberUniqueName="[Posts].[Post Text].[All]" allUniqueName="[Posts].[Post Text].[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Hashtags Used.1]" caption="Hashtags Used.1" attribute="1" defaultMemberUniqueName="[Posts].[Hashtags Used.1].[All]" allUniqueName="[Posts].[Hashtags Used.1].[All]" dimensionUniqueName="[Posts]" displayFolder="" count="0" memberValueDatatype="130" unbalanced="0"/>
    <cacheHierarchy uniqueName="[Posts].[Hashtags Used.2]" caption="Hashtags Used.2" attribute="1" defaultMemberUniqueName="[Posts].[Hashtags Used.2].[All]" allUniqueName="[Posts].[Hashtags Used.2].[All]" dimensionUniqueName="[Posts]" displayFolder="" count="0" memberValueDatatype="130" unbalanced="0"/>
    <cacheHierarchy uniqueName="[Posts].[Campaign_Name]" caption="Campaign_Name" attribute="1" defaultMemberUniqueName="[Posts].[Campaign_Name].[All]" allUniqueName="[Posts].[Campaign_Name].[All]" dimensionUniqueName="[Posts]" displayFolder="" count="2" memberValueDatatype="130" unbalanced="0">
      <fieldsUsage count="2">
        <fieldUsage x="-1"/>
        <fieldUsage x="0"/>
      </fieldsUsage>
    </cacheHierarchy>
    <cacheHierarchy uniqueName="[Posts].[period]" caption="period" attribute="1" defaultMemberUniqueName="[Posts].[period].[All]" allUniqueName="[Posts].[period].[All]" dimensionUniqueName="[Posts]" displayFolder="" count="0" memberValueDatatype="130" unbalanced="0"/>
    <cacheHierarchy uniqueName="[Posts].[Avg. Before]" caption="Avg. Before" attribute="1" defaultMemberUniqueName="[Posts].[Avg. Before].[All]" allUniqueName="[Posts].[Avg. Before].[All]" dimensionUniqueName="[Posts]" displayFolder="" count="0" memberValueDatatype="5" unbalanced="0"/>
    <cacheHierarchy uniqueName="[Posts].[Avg. During]" caption="Avg. During" attribute="1" defaultMemberUniqueName="[Posts].[Avg. During].[All]" allUniqueName="[Posts].[Avg. During].[All]" dimensionUniqueName="[Posts]" displayFolder="" count="0" memberValueDatatype="130" unbalanced="0"/>
    <cacheHierarchy uniqueName="[Posts].[calculate uplift %]" caption="calculate uplift %" attribute="1" defaultMemberUniqueName="[Posts].[calculate uplift %].[All]" allUniqueName="[Posts].[calculate uplift %].[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Measures].[__XL_Count Posts]" caption="__XL_Count Posts" measure="1" displayFolder="" measureGroup="Posts" count="0" hidden="1"/>
    <cacheHierarchy uniqueName="[Measures].[__XL_Count Engagement_Summary]" caption="__XL_Count Engagement_Summary" measure="1" displayFolder="" measureGroup="Engagement_Summary" count="0" hidden="1"/>
    <cacheHierarchy uniqueName="[Measures].[__No measures defined]" caption="__No measures defined" measure="1" displayFolder="" count="0" hidden="1"/>
    <cacheHierarchy uniqueName="[Measures].[Sum of engagement rate]" caption="Sum of engagement rate" measure="1" displayFolder="" measureGroup="Posts" count="0" hidden="1">
      <extLst>
        <ext xmlns:x15="http://schemas.microsoft.com/office/spreadsheetml/2010/11/main" uri="{B97F6D7D-B522-45F9-BDA1-12C45D357490}">
          <x15:cacheHierarchy aggregatedColumn="28"/>
        </ext>
      </extLst>
    </cacheHierarchy>
    <cacheHierarchy uniqueName="[Measures].[Sum of Avg. Before]" caption="Sum of Avg. Before" measure="1" displayFolder="" measureGroup="Posts" count="0" hidden="1">
      <extLst>
        <ext xmlns:x15="http://schemas.microsoft.com/office/spreadsheetml/2010/11/main" uri="{B97F6D7D-B522-45F9-BDA1-12C45D357490}">
          <x15:cacheHierarchy aggregatedColumn="25"/>
        </ext>
      </extLst>
    </cacheHierarchy>
    <cacheHierarchy uniqueName="[Measures].[Average of Avg. Before]" caption="Average of Avg. Before" measure="1" displayFolder="" measureGroup="Posts" count="0" hidden="1">
      <extLst>
        <ext xmlns:x15="http://schemas.microsoft.com/office/spreadsheetml/2010/11/main" uri="{B97F6D7D-B522-45F9-BDA1-12C45D357490}">
          <x15:cacheHierarchy aggregatedColumn="25"/>
        </ext>
      </extLst>
    </cacheHierarchy>
    <cacheHierarchy uniqueName="[Measures].[Sum of Impressions]" caption="Sum of Impressions" measure="1" displayFolder="" measureGroup="Post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Impressions]" caption="Average of Impressions" measure="1" displayFolder="" measureGroup="Posts"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Likes]" caption="Sum of Likes" measure="1" displayFolder="" measureGroup="Posts"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Likes]" caption="Average of Likes" measure="1" displayFolder="" measureGroup="Post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Clicks]" caption="Sum of Clicks" measure="1" displayFolder="" measureGroup="Posts" count="0" oneField="1" hidden="1">
      <fieldsUsage count="1">
        <fieldUsage x="4"/>
      </fieldsUsage>
      <extLst>
        <ext xmlns:x15="http://schemas.microsoft.com/office/spreadsheetml/2010/11/main" uri="{B97F6D7D-B522-45F9-BDA1-12C45D357490}">
          <x15:cacheHierarchy aggregatedColumn="20"/>
        </ext>
      </extLst>
    </cacheHierarchy>
    <cacheHierarchy uniqueName="[Measures].[Average of Clicks]" caption="Average of Clicks" measure="1" displayFolder="" measureGroup="Posts" count="0" oneField="1" hidden="1">
      <fieldsUsage count="1">
        <fieldUsage x="5"/>
      </fieldsUsage>
      <extLst>
        <ext xmlns:x15="http://schemas.microsoft.com/office/spreadsheetml/2010/11/main" uri="{B97F6D7D-B522-45F9-BDA1-12C45D357490}">
          <x15:cacheHierarchy aggregatedColumn="20"/>
        </ext>
      </extLst>
    </cacheHierarchy>
    <cacheHierarchy uniqueName="[Measures].[Sum of ROI]" caption="Sum of ROI" measure="1" displayFolder="" measureGroup="Engagement_Summary" count="0" hidden="1">
      <extLst>
        <ext xmlns:x15="http://schemas.microsoft.com/office/spreadsheetml/2010/11/main" uri="{B97F6D7D-B522-45F9-BDA1-12C45D357490}">
          <x15:cacheHierarchy aggregatedColumn="7"/>
        </ext>
      </extLst>
    </cacheHierarchy>
    <cacheHierarchy uniqueName="[Measures].[Average of ROI]" caption="Average of ROI" measure="1" displayFolder="" measureGroup="Engagement_Summary" count="0" hidden="1">
      <extLst>
        <ext xmlns:x15="http://schemas.microsoft.com/office/spreadsheetml/2010/11/main" uri="{B97F6D7D-B522-45F9-BDA1-12C45D357490}">
          <x15:cacheHierarchy aggregatedColumn="7"/>
        </ext>
      </extLst>
    </cacheHierarchy>
    <cacheHierarchy uniqueName="[Measures].[Sum of Net Follower Growth]" caption="Sum of Net Follower Growth" measure="1" displayFolder="" measureGroup="Engagement_Summary" count="0" hidden="1">
      <extLst>
        <ext xmlns:x15="http://schemas.microsoft.com/office/spreadsheetml/2010/11/main" uri="{B97F6D7D-B522-45F9-BDA1-12C45D357490}">
          <x15:cacheHierarchy aggregatedColumn="8"/>
        </ext>
      </extLst>
    </cacheHierarchy>
  </cacheHierarchies>
  <kpis count="0"/>
  <dimensions count="3">
    <dimension name="Engagement_Summary" uniqueName="[Engagement_Summary]" caption="Engagement_Summary"/>
    <dimension measure="1" name="Measures" uniqueName="[Measures]" caption="Measures"/>
    <dimension name="Posts" uniqueName="[Posts]" caption="Posts"/>
  </dimensions>
  <measureGroups count="2">
    <measureGroup name="Engagement_Summary" caption="Engagement_Summary"/>
    <measureGroup name="Posts" caption="Post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4.2897297297297299E-2"/>
    <n v="1334"/>
    <s v="45453-Twitter"/>
  </r>
  <r>
    <x v="0"/>
    <x v="1"/>
    <n v="995"/>
    <n v="86"/>
    <n v="227958"/>
    <n v="8.0500000000000007"/>
    <n v="22788"/>
    <n v="3.5325609970159738E-2"/>
    <n v="909"/>
    <s v="45453-Twitter"/>
  </r>
  <r>
    <x v="0"/>
    <x v="2"/>
    <n v="1472"/>
    <n v="296"/>
    <n v="370242"/>
    <n v="7.72"/>
    <n v="7810"/>
    <n v="9.8847631241997427E-2"/>
    <n v="1176"/>
    <s v="45446-Twitter"/>
  </r>
  <r>
    <x v="1"/>
    <x v="0"/>
    <n v="1018"/>
    <n v="90"/>
    <n v="92474"/>
    <n v="9.4"/>
    <n v="11966"/>
    <n v="7.855590840715361E-2"/>
    <n v="928"/>
    <s v="45446-Twitter"/>
  </r>
  <r>
    <x v="1"/>
    <x v="1"/>
    <n v="1461"/>
    <n v="64"/>
    <n v="328902"/>
    <n v="9.02"/>
    <n v="26298"/>
    <n v="3.4299186249904932E-2"/>
    <n v="1397"/>
    <s v="45446-Twitter"/>
  </r>
  <r>
    <x v="1"/>
    <x v="2"/>
    <n v="545"/>
    <n v="93"/>
    <n v="391621"/>
    <n v="9.9600000000000009"/>
    <n v="22029"/>
    <n v="4.5213128149257799E-2"/>
    <n v="452"/>
    <s v="45586-Twitter"/>
  </r>
  <r>
    <x v="2"/>
    <x v="0"/>
    <n v="881"/>
    <n v="291"/>
    <n v="95885"/>
    <n v="5.29"/>
    <n v="12391"/>
    <n v="4.269227665240901E-2"/>
    <n v="590"/>
    <s v="45586-Twitter"/>
  </r>
  <r>
    <x v="2"/>
    <x v="1"/>
    <n v="1414"/>
    <n v="131"/>
    <n v="245947"/>
    <n v="8.3000000000000007"/>
    <n v="14477"/>
    <n v="5.7332320232092289E-2"/>
    <n v="1283"/>
    <s v="45586-Twitter"/>
  </r>
  <r>
    <x v="2"/>
    <x v="2"/>
    <n v="1472"/>
    <n v="170"/>
    <n v="250428"/>
    <n v="4.66"/>
    <n v="25040"/>
    <n v="1.8610223642172526E-2"/>
    <n v="1302"/>
    <s v="45579-Twitter"/>
  </r>
  <r>
    <x v="3"/>
    <x v="0"/>
    <n v="809"/>
    <n v="197"/>
    <n v="87186"/>
    <n v="9.48"/>
    <n v="22619"/>
    <n v="4.191166718245723E-2"/>
    <n v="612"/>
    <s v="45579-Twitter"/>
  </r>
  <r>
    <x v="3"/>
    <x v="1"/>
    <n v="1371"/>
    <n v="250"/>
    <n v="128620"/>
    <n v="7.11"/>
    <n v="12399"/>
    <n v="5.7343334139849989E-2"/>
    <n v="1121"/>
    <s v="45579-Twitter"/>
  </r>
  <r>
    <x v="3"/>
    <x v="2"/>
    <n v="844"/>
    <n v="144"/>
    <n v="126015"/>
    <n v="9.65"/>
    <n v="22456"/>
    <n v="4.2972924830780197E-2"/>
    <n v="700"/>
    <s v="45572-Twitter"/>
  </r>
  <r>
    <x v="4"/>
    <x v="0"/>
    <n v="786"/>
    <n v="72"/>
    <n v="178615"/>
    <n v="5.43"/>
    <n v="19328"/>
    <n v="2.8093956953642384E-2"/>
    <n v="714"/>
    <s v="45572-Twitter"/>
  </r>
  <r>
    <x v="4"/>
    <x v="1"/>
    <n v="845"/>
    <n v="250"/>
    <n v="218228"/>
    <n v="4.5199999999999996"/>
    <n v="21107"/>
    <n v="2.1414696546169516E-2"/>
    <n v="595"/>
    <s v="45572-Twitter"/>
  </r>
  <r>
    <x v="4"/>
    <x v="2"/>
    <n v="1218"/>
    <n v="101"/>
    <n v="300397"/>
    <n v="4.33"/>
    <n v="12277"/>
    <n v="3.5269202573918711E-2"/>
    <n v="1117"/>
    <s v="45565-Twitter"/>
  </r>
  <r>
    <x v="5"/>
    <x v="0"/>
    <n v="797"/>
    <n v="130"/>
    <n v="340121"/>
    <n v="8.52"/>
    <n v="11684"/>
    <n v="7.2920232796987339E-2"/>
    <n v="667"/>
    <s v="45565-Twitter"/>
  </r>
  <r>
    <x v="5"/>
    <x v="1"/>
    <n v="1471"/>
    <n v="100"/>
    <n v="76866"/>
    <n v="8.5500000000000007"/>
    <n v="14412"/>
    <n v="5.9325562031640307E-2"/>
    <n v="1371"/>
    <s v="45565-Twitter"/>
  </r>
  <r>
    <x v="5"/>
    <x v="2"/>
    <n v="1253"/>
    <n v="136"/>
    <n v="193131"/>
    <n v="7.99"/>
    <n v="15924"/>
    <n v="5.017583521728209E-2"/>
    <n v="1117"/>
    <s v="45558-Twitter"/>
  </r>
  <r>
    <x v="6"/>
    <x v="0"/>
    <n v="616"/>
    <n v="257"/>
    <n v="169665"/>
    <n v="6.31"/>
    <n v="12390"/>
    <n v="5.0928167877320421E-2"/>
    <n v="359"/>
    <s v="45558-Twitter"/>
  </r>
  <r>
    <x v="6"/>
    <x v="1"/>
    <n v="1308"/>
    <n v="210"/>
    <n v="263729"/>
    <n v="8.5299999999999994"/>
    <n v="25742"/>
    <n v="3.3136508429803431E-2"/>
    <n v="1098"/>
    <s v="45558-Twitter"/>
  </r>
  <r>
    <x v="6"/>
    <x v="2"/>
    <n v="981"/>
    <n v="69"/>
    <n v="206921"/>
    <n v="8.42"/>
    <n v="10495"/>
    <n v="8.0228680323963797E-2"/>
    <n v="912"/>
    <s v="45551-Twitter"/>
  </r>
  <r>
    <x v="7"/>
    <x v="0"/>
    <n v="866"/>
    <n v="74"/>
    <n v="204121"/>
    <n v="9.34"/>
    <n v="7797"/>
    <n v="0.1197896626907785"/>
    <n v="792"/>
    <s v="45551-Twitter"/>
  </r>
  <r>
    <x v="7"/>
    <x v="1"/>
    <n v="547"/>
    <n v="183"/>
    <n v="266350"/>
    <n v="5.65"/>
    <n v="15595"/>
    <n v="3.6229560756652776E-2"/>
    <n v="364"/>
    <s v="45551-Twitter"/>
  </r>
  <r>
    <x v="7"/>
    <x v="2"/>
    <n v="1241"/>
    <n v="116"/>
    <n v="380606"/>
    <n v="4.2"/>
    <n v="24617"/>
    <n v="1.7061380346914734E-2"/>
    <n v="1125"/>
    <s v="45544-Twitter"/>
  </r>
  <r>
    <x v="8"/>
    <x v="0"/>
    <n v="973"/>
    <n v="104"/>
    <n v="376358"/>
    <n v="3.87"/>
    <n v="9847"/>
    <n v="3.9301310043668124E-2"/>
    <n v="869"/>
    <s v="45544-Twitter"/>
  </r>
  <r>
    <x v="8"/>
    <x v="1"/>
    <n v="611"/>
    <n v="197"/>
    <n v="79423"/>
    <n v="5.82"/>
    <n v="13644"/>
    <n v="4.2656112576956909E-2"/>
    <n v="414"/>
    <s v="45544-Twitter"/>
  </r>
  <r>
    <x v="8"/>
    <x v="2"/>
    <n v="983"/>
    <n v="134"/>
    <n v="352178"/>
    <n v="3.55"/>
    <n v="11421"/>
    <n v="3.1083092548813588E-2"/>
    <n v="849"/>
    <s v="45537-Twitter"/>
  </r>
  <r>
    <x v="9"/>
    <x v="0"/>
    <n v="1449"/>
    <n v="96"/>
    <n v="200636"/>
    <n v="9.92"/>
    <n v="15613"/>
    <n v="6.3536796259527323E-2"/>
    <n v="1353"/>
    <s v="45537-Twitter"/>
  </r>
  <r>
    <x v="9"/>
    <x v="1"/>
    <n v="752"/>
    <n v="170"/>
    <n v="132756"/>
    <n v="8.17"/>
    <n v="23900"/>
    <n v="3.4184100418410038E-2"/>
    <n v="582"/>
    <s v="45537-Twitter"/>
  </r>
  <r>
    <x v="9"/>
    <x v="2"/>
    <n v="937"/>
    <n v="179"/>
    <n v="318098"/>
    <n v="5.3"/>
    <n v="5836"/>
    <n v="9.0815627141877991E-2"/>
    <n v="758"/>
    <s v="45530-Twitter"/>
  </r>
  <r>
    <x v="10"/>
    <x v="0"/>
    <n v="1060"/>
    <n v="83"/>
    <n v="68724"/>
    <n v="5.98"/>
    <n v="5624"/>
    <n v="0.10633001422475108"/>
    <n v="977"/>
    <s v="45530-Twitter"/>
  </r>
  <r>
    <x v="10"/>
    <x v="1"/>
    <n v="1456"/>
    <n v="265"/>
    <n v="115505"/>
    <n v="7.49"/>
    <n v="10311"/>
    <n v="7.2640868974881201E-2"/>
    <n v="1191"/>
    <s v="45530-Twitter"/>
  </r>
  <r>
    <x v="10"/>
    <x v="2"/>
    <n v="1109"/>
    <n v="205"/>
    <n v="276722"/>
    <n v="9.3800000000000008"/>
    <n v="8274"/>
    <n v="0.11336717428087988"/>
    <n v="904"/>
    <s v="45523-Twitter"/>
  </r>
  <r>
    <x v="11"/>
    <x v="0"/>
    <n v="1002"/>
    <n v="93"/>
    <n v="353538"/>
    <n v="5.84"/>
    <n v="6031"/>
    <n v="9.6833029348366767E-2"/>
    <n v="909"/>
    <s v="45523-Twitter"/>
  </r>
  <r>
    <x v="11"/>
    <x v="1"/>
    <n v="571"/>
    <n v="189"/>
    <n v="61445"/>
    <n v="5.41"/>
    <n v="27829"/>
    <n v="1.9440152359049914E-2"/>
    <n v="382"/>
    <s v="45523-Twitter"/>
  </r>
  <r>
    <x v="11"/>
    <x v="2"/>
    <n v="1240"/>
    <n v="231"/>
    <n v="165035"/>
    <n v="6.05"/>
    <n v="18267"/>
    <n v="3.3119833579679202E-2"/>
    <n v="1009"/>
    <s v="45516-Twitter"/>
  </r>
  <r>
    <x v="12"/>
    <x v="0"/>
    <n v="1154"/>
    <n v="132"/>
    <n v="194595"/>
    <n v="7.54"/>
    <n v="26624"/>
    <n v="2.8320312499999997E-2"/>
    <n v="1022"/>
    <s v="45516-Twitter"/>
  </r>
  <r>
    <x v="12"/>
    <x v="1"/>
    <n v="537"/>
    <n v="275"/>
    <n v="236238"/>
    <n v="5.87"/>
    <n v="26644"/>
    <n v="2.2031226542561178E-2"/>
    <n v="262"/>
    <s v="45516-Twitter"/>
  </r>
  <r>
    <x v="12"/>
    <x v="2"/>
    <n v="1456"/>
    <n v="290"/>
    <n v="271044"/>
    <n v="7.17"/>
    <n v="13051"/>
    <n v="5.493831890276607E-2"/>
    <n v="1166"/>
    <s v="45509-Twitter"/>
  </r>
  <r>
    <x v="13"/>
    <x v="0"/>
    <n v="721"/>
    <n v="206"/>
    <n v="334887"/>
    <n v="6.05"/>
    <n v="14217"/>
    <n v="4.2554688049518181E-2"/>
    <n v="515"/>
    <s v="45509-Twitter"/>
  </r>
  <r>
    <x v="13"/>
    <x v="1"/>
    <n v="1098"/>
    <n v="142"/>
    <n v="359150"/>
    <n v="7.51"/>
    <n v="16385"/>
    <n v="4.5834604821483063E-2"/>
    <n v="956"/>
    <s v="45509-Twitter"/>
  </r>
  <r>
    <x v="13"/>
    <x v="2"/>
    <n v="1096"/>
    <n v="65"/>
    <n v="358295"/>
    <n v="7.66"/>
    <n v="24548"/>
    <n v="3.1204171419260223E-2"/>
    <n v="1031"/>
    <s v="45502-Twitter"/>
  </r>
  <r>
    <x v="14"/>
    <x v="0"/>
    <n v="912"/>
    <n v="275"/>
    <n v="368454"/>
    <n v="6.03"/>
    <n v="9195"/>
    <n v="6.5579119086460039E-2"/>
    <n v="637"/>
    <s v="45502-Twitter"/>
  </r>
  <r>
    <x v="14"/>
    <x v="1"/>
    <n v="1430"/>
    <n v="162"/>
    <n v="269082"/>
    <n v="3.4"/>
    <n v="18071"/>
    <n v="1.881467544684854E-2"/>
    <n v="1268"/>
    <s v="45502-Twitter"/>
  </r>
  <r>
    <x v="14"/>
    <x v="2"/>
    <n v="854"/>
    <n v="129"/>
    <n v="310903"/>
    <n v="7.83"/>
    <n v="16875"/>
    <n v="4.6399999999999997E-2"/>
    <n v="725"/>
    <s v="45495-Twitter"/>
  </r>
  <r>
    <x v="15"/>
    <x v="0"/>
    <n v="681"/>
    <n v="210"/>
    <n v="248581"/>
    <n v="8.76"/>
    <n v="9567"/>
    <n v="9.1564753841329574E-2"/>
    <n v="471"/>
    <s v="45495-Twitter"/>
  </r>
  <r>
    <x v="15"/>
    <x v="1"/>
    <n v="1373"/>
    <n v="82"/>
    <n v="371015"/>
    <n v="9.52"/>
    <n v="20306"/>
    <n v="4.6882694770018711E-2"/>
    <n v="1291"/>
    <s v="45495-Twitter"/>
  </r>
  <r>
    <x v="15"/>
    <x v="2"/>
    <n v="685"/>
    <n v="285"/>
    <n v="177452"/>
    <n v="3.36"/>
    <n v="21134"/>
    <n v="1.5898552096148384E-2"/>
    <n v="400"/>
    <s v="45488-Twitter"/>
  </r>
  <r>
    <x v="16"/>
    <x v="0"/>
    <n v="1290"/>
    <n v="177"/>
    <n v="80745"/>
    <n v="9.2200000000000006"/>
    <n v="26872"/>
    <n v="3.4310806787734446E-2"/>
    <n v="1113"/>
    <s v="45488-Twitter"/>
  </r>
  <r>
    <x v="16"/>
    <x v="1"/>
    <n v="1437"/>
    <n v="239"/>
    <n v="362441"/>
    <n v="5.57"/>
    <n v="10253"/>
    <n v="5.4325563249780551E-2"/>
    <n v="1198"/>
    <s v="45488-Twitter"/>
  </r>
  <r>
    <x v="16"/>
    <x v="2"/>
    <n v="769"/>
    <n v="295"/>
    <n v="344771"/>
    <n v="8.06"/>
    <n v="23963"/>
    <n v="3.363518758085382E-2"/>
    <n v="474"/>
    <s v="45481-Twitter"/>
  </r>
  <r>
    <x v="17"/>
    <x v="0"/>
    <n v="1416"/>
    <n v="284"/>
    <n v="374952"/>
    <n v="3.45"/>
    <n v="11335"/>
    <n v="3.0436700485222762E-2"/>
    <n v="1132"/>
    <s v="45481-Twitter"/>
  </r>
  <r>
    <x v="17"/>
    <x v="1"/>
    <n v="998"/>
    <n v="154"/>
    <n v="179781"/>
    <n v="9.58"/>
    <n v="12115"/>
    <n v="7.9075526207181182E-2"/>
    <n v="844"/>
    <s v="45481-Twitter"/>
  </r>
  <r>
    <x v="17"/>
    <x v="2"/>
    <n v="1421"/>
    <n v="246"/>
    <n v="358581"/>
    <n v="8.8800000000000008"/>
    <n v="24358"/>
    <n v="3.6456195089908862E-2"/>
    <n v="1175"/>
    <s v="45474-Twitter"/>
  </r>
  <r>
    <x v="18"/>
    <x v="0"/>
    <n v="764"/>
    <n v="205"/>
    <n v="319294"/>
    <n v="6.23"/>
    <n v="12181"/>
    <n v="5.1145226171907067E-2"/>
    <n v="559"/>
    <s v="45474-Twitter"/>
  </r>
  <r>
    <x v="18"/>
    <x v="1"/>
    <n v="678"/>
    <n v="124"/>
    <n v="192022"/>
    <n v="8.4499999999999993"/>
    <n v="17729"/>
    <n v="4.7662022674713742E-2"/>
    <n v="554"/>
    <s v="45474-Twitter"/>
  </r>
  <r>
    <x v="18"/>
    <x v="2"/>
    <n v="1328"/>
    <n v="103"/>
    <n v="151462"/>
    <n v="8.4"/>
    <n v="10881"/>
    <n v="7.7198786876206238E-2"/>
    <n v="1225"/>
    <s v="45467-Twitter"/>
  </r>
  <r>
    <x v="19"/>
    <x v="0"/>
    <n v="1161"/>
    <n v="269"/>
    <n v="188193"/>
    <n v="7.34"/>
    <n v="18576"/>
    <n v="3.9513350559862187E-2"/>
    <n v="892"/>
    <s v="45467-Twitter"/>
  </r>
  <r>
    <x v="19"/>
    <x v="1"/>
    <n v="588"/>
    <n v="52"/>
    <n v="292040"/>
    <n v="8.14"/>
    <n v="9383"/>
    <n v="8.6752637749120759E-2"/>
    <n v="536"/>
    <s v="45467-Twitter"/>
  </r>
  <r>
    <x v="19"/>
    <x v="2"/>
    <n v="1457"/>
    <n v="215"/>
    <n v="325325"/>
    <n v="9.58"/>
    <n v="14178"/>
    <n v="6.7569473832698554E-2"/>
    <n v="1242"/>
    <s v="45460-Twitter"/>
  </r>
  <r>
    <x v="20"/>
    <x v="0"/>
    <n v="1190"/>
    <n v="242"/>
    <n v="86849"/>
    <n v="8.06"/>
    <n v="21254"/>
    <n v="3.7922273454408587E-2"/>
    <n v="948"/>
    <s v="45460-Twitter"/>
  </r>
  <r>
    <x v="20"/>
    <x v="1"/>
    <n v="886"/>
    <n v="124"/>
    <n v="141161"/>
    <n v="8.19"/>
    <n v="14215"/>
    <n v="5.7615195216320789E-2"/>
    <n v="762"/>
    <s v="45460-Twitter"/>
  </r>
  <r>
    <x v="20"/>
    <x v="2"/>
    <n v="1237"/>
    <n v="155"/>
    <n v="149916"/>
    <n v="4.4800000000000004"/>
    <n v="16921"/>
    <n v="2.6475976597127832E-2"/>
    <n v="1082"/>
    <s v="45453-Twitter"/>
  </r>
  <r>
    <x v="21"/>
    <x v="0"/>
    <n v="1435"/>
    <n v="261"/>
    <n v="308533"/>
    <n v="4.5199999999999996"/>
    <n v="25130"/>
    <n v="1.7986470354158374E-2"/>
    <n v="1174"/>
    <s v="45453-Twitter"/>
  </r>
  <r>
    <x v="21"/>
    <x v="1"/>
    <n v="746"/>
    <n v="282"/>
    <n v="293894"/>
    <n v="5.42"/>
    <n v="25537"/>
    <n v="2.1224106198848729E-2"/>
    <n v="464"/>
    <s v="45453-Twitter"/>
  </r>
  <r>
    <x v="21"/>
    <x v="2"/>
    <n v="759"/>
    <n v="216"/>
    <n v="147656"/>
    <n v="4.08"/>
    <n v="24943"/>
    <n v="1.6357294631760416E-2"/>
    <n v="543"/>
    <s v="45446-Twitter"/>
  </r>
  <r>
    <x v="22"/>
    <x v="0"/>
    <n v="1437"/>
    <n v="235"/>
    <n v="326791"/>
    <n v="4.0599999999999996"/>
    <n v="14563"/>
    <n v="2.7878871111721482E-2"/>
    <n v="1202"/>
    <s v="45446-Twitter"/>
  </r>
  <r>
    <x v="22"/>
    <x v="1"/>
    <n v="1463"/>
    <n v="73"/>
    <n v="348877"/>
    <n v="9.91"/>
    <n v="26273"/>
    <n v="3.7719331633235639E-2"/>
    <n v="1390"/>
    <s v="45446-Twitter"/>
  </r>
  <r>
    <x v="22"/>
    <x v="2"/>
    <n v="1208"/>
    <n v="224"/>
    <n v="122730"/>
    <n v="8.7200000000000006"/>
    <n v="10858"/>
    <n v="8.0309449254006279E-2"/>
    <n v="984"/>
    <s v="45495-Twitter"/>
  </r>
  <r>
    <x v="23"/>
    <x v="0"/>
    <n v="1391"/>
    <n v="187"/>
    <n v="306508"/>
    <n v="8.3800000000000008"/>
    <n v="25038"/>
    <n v="3.3469126927070859E-2"/>
    <n v="1204"/>
    <s v="45495-Twitter"/>
  </r>
  <r>
    <x v="23"/>
    <x v="1"/>
    <n v="655"/>
    <n v="123"/>
    <n v="202472"/>
    <n v="7.56"/>
    <n v="9092"/>
    <n v="8.315002199736031E-2"/>
    <n v="532"/>
    <s v="45495-Twitter"/>
  </r>
  <r>
    <x v="23"/>
    <x v="2"/>
    <n v="1148"/>
    <n v="90"/>
    <n v="227249"/>
    <n v="7.24"/>
    <n v="17662"/>
    <n v="4.0991960140414452E-2"/>
    <n v="1058"/>
    <s v="45488-Twitter"/>
  </r>
  <r>
    <x v="24"/>
    <x v="0"/>
    <n v="946"/>
    <n v="270"/>
    <n v="246567"/>
    <n v="4.53"/>
    <n v="5924"/>
    <n v="7.6468602295746119E-2"/>
    <n v="676"/>
    <s v="45488-Twitter"/>
  </r>
  <r>
    <x v="24"/>
    <x v="1"/>
    <n v="791"/>
    <n v="214"/>
    <n v="114738"/>
    <n v="6.62"/>
    <n v="25347"/>
    <n v="2.6117489249220815E-2"/>
    <n v="577"/>
    <s v="45488-Twitter"/>
  </r>
  <r>
    <x v="24"/>
    <x v="2"/>
    <n v="793"/>
    <n v="111"/>
    <n v="333500"/>
    <n v="6.36"/>
    <n v="8910"/>
    <n v="7.1380471380471391E-2"/>
    <n v="682"/>
    <s v="45481-Twitter"/>
  </r>
  <r>
    <x v="25"/>
    <x v="0"/>
    <n v="663"/>
    <n v="213"/>
    <n v="352677"/>
    <n v="9"/>
    <n v="20438"/>
    <n v="4.4035619923671596E-2"/>
    <n v="450"/>
    <s v="45481-Twitter"/>
  </r>
  <r>
    <x v="25"/>
    <x v="1"/>
    <n v="954"/>
    <n v="271"/>
    <n v="160936"/>
    <n v="8.83"/>
    <n v="8760"/>
    <n v="0.10079908675799086"/>
    <n v="683"/>
    <s v="45481-Twitter"/>
  </r>
  <r>
    <x v="25"/>
    <x v="2"/>
    <n v="1313"/>
    <n v="159"/>
    <n v="197183"/>
    <n v="9.7100000000000009"/>
    <n v="6625"/>
    <n v="0.14656603773584909"/>
    <n v="1154"/>
    <s v="45474-Twitter"/>
  </r>
  <r>
    <x v="26"/>
    <x v="0"/>
    <n v="895"/>
    <n v="87"/>
    <n v="171271"/>
    <n v="6.68"/>
    <n v="23329"/>
    <n v="2.86338891508423E-2"/>
    <n v="808"/>
    <s v="45474-Twitter"/>
  </r>
  <r>
    <x v="26"/>
    <x v="1"/>
    <n v="1027"/>
    <n v="156"/>
    <n v="111293"/>
    <n v="5.51"/>
    <n v="7299"/>
    <n v="7.5489793122345522E-2"/>
    <n v="871"/>
    <s v="45474-Twitter"/>
  </r>
  <r>
    <x v="26"/>
    <x v="2"/>
    <n v="990"/>
    <n v="286"/>
    <n v="351493"/>
    <n v="7.97"/>
    <n v="14496"/>
    <n v="5.498068432671082E-2"/>
    <n v="704"/>
    <s v="45467-Twitter"/>
  </r>
  <r>
    <x v="27"/>
    <x v="0"/>
    <n v="875"/>
    <n v="264"/>
    <n v="345631"/>
    <n v="9.18"/>
    <n v="25703"/>
    <n v="3.5715675213010153E-2"/>
    <n v="611"/>
    <s v="45467-Twitter"/>
  </r>
  <r>
    <x v="27"/>
    <x v="1"/>
    <n v="599"/>
    <n v="194"/>
    <n v="105622"/>
    <n v="6.44"/>
    <n v="15108"/>
    <n v="4.2626423087106173E-2"/>
    <n v="405"/>
    <s v="45467-Twitter"/>
  </r>
  <r>
    <x v="27"/>
    <x v="2"/>
    <n v="630"/>
    <n v="248"/>
    <n v="119054"/>
    <n v="5.0199999999999996"/>
    <n v="18867"/>
    <n v="2.6607303757884133E-2"/>
    <n v="382"/>
    <s v="45460-Twitter"/>
  </r>
  <r>
    <x v="28"/>
    <x v="0"/>
    <n v="1350"/>
    <n v="233"/>
    <n v="171670"/>
    <n v="4.53"/>
    <n v="17574"/>
    <n v="2.5776715602594744E-2"/>
    <n v="1117"/>
    <s v="45460-Twitter"/>
  </r>
  <r>
    <x v="28"/>
    <x v="1"/>
    <n v="632"/>
    <n v="155"/>
    <n v="170432"/>
    <n v="9.17"/>
    <n v="12840"/>
    <n v="7.1417445482866049E-2"/>
    <n v="477"/>
    <s v="45460-Twitter"/>
  </r>
  <r>
    <x v="28"/>
    <x v="2"/>
    <n v="1182"/>
    <n v="83"/>
    <n v="140300"/>
    <n v="3.27"/>
    <n v="21079"/>
    <n v="1.5513069879975331E-2"/>
    <n v="1099"/>
    <s v="45453-Twitter"/>
  </r>
  <r>
    <x v="29"/>
    <x v="0"/>
    <n v="661"/>
    <n v="94"/>
    <n v="116538"/>
    <n v="5.31"/>
    <n v="23486"/>
    <n v="2.2609213999829684E-2"/>
    <n v="567"/>
    <s v="45453-Twitter"/>
  </r>
  <r>
    <x v="29"/>
    <x v="1"/>
    <n v="1360"/>
    <n v="227"/>
    <n v="176902"/>
    <n v="6.03"/>
    <n v="5960"/>
    <n v="0.1011744966442953"/>
    <n v="1133"/>
    <s v="45453-Twitter"/>
  </r>
  <r>
    <x v="29"/>
    <x v="2"/>
    <n v="935"/>
    <n v="85"/>
    <n v="326821"/>
    <n v="8.89"/>
    <n v="13301"/>
    <n v="6.6837079918803097E-2"/>
    <n v="850"/>
    <s v="45446-Twitter"/>
  </r>
  <r>
    <x v="30"/>
    <x v="0"/>
    <n v="664"/>
    <n v="251"/>
    <n v="240598"/>
    <n v="4.79"/>
    <n v="10563"/>
    <n v="4.5346965824102997E-2"/>
    <n v="413"/>
    <s v="45446-Twitter"/>
  </r>
  <r>
    <x v="30"/>
    <x v="1"/>
    <n v="1490"/>
    <n v="103"/>
    <n v="373274"/>
    <n v="4.8"/>
    <n v="19949"/>
    <n v="2.4061356458970375E-2"/>
    <n v="1387"/>
    <s v="45446-Twitter"/>
  </r>
  <r>
    <x v="30"/>
    <x v="2"/>
    <n v="601"/>
    <n v="64"/>
    <n v="123272"/>
    <n v="4.07"/>
    <n v="14273"/>
    <n v="2.8515378687031457E-2"/>
    <n v="537"/>
    <s v="45656-YouTube"/>
  </r>
  <r>
    <x v="31"/>
    <x v="0"/>
    <n v="613"/>
    <n v="170"/>
    <n v="139266"/>
    <n v="6.06"/>
    <n v="9247"/>
    <n v="6.5534768032875529E-2"/>
    <n v="443"/>
    <s v="45649-YouTube"/>
  </r>
  <r>
    <x v="31"/>
    <x v="1"/>
    <n v="1340"/>
    <n v="57"/>
    <n v="155927"/>
    <n v="7.79"/>
    <n v="11972"/>
    <n v="6.5068493150684928E-2"/>
    <n v="1283"/>
    <s v="45649-YouTube"/>
  </r>
  <r>
    <x v="31"/>
    <x v="2"/>
    <n v="953"/>
    <n v="228"/>
    <n v="258398"/>
    <n v="9.0500000000000007"/>
    <n v="13314"/>
    <n v="6.7973561664413401E-2"/>
    <n v="725"/>
    <s v="45649-YouTube"/>
  </r>
  <r>
    <x v="32"/>
    <x v="0"/>
    <n v="532"/>
    <n v="65"/>
    <n v="338561"/>
    <n v="3.5"/>
    <n v="14749"/>
    <n v="2.3730422401518746E-2"/>
    <n v="467"/>
    <s v="45642-YouTube"/>
  </r>
  <r>
    <x v="32"/>
    <x v="1"/>
    <n v="1414"/>
    <n v="60"/>
    <n v="341856"/>
    <n v="8.76"/>
    <n v="6868"/>
    <n v="0.12754804892253932"/>
    <n v="1354"/>
    <s v="45642-YouTube"/>
  </r>
  <r>
    <x v="32"/>
    <x v="2"/>
    <n v="685"/>
    <n v="165"/>
    <n v="175860"/>
    <n v="6.26"/>
    <n v="6027"/>
    <n v="0.10386593661854986"/>
    <n v="520"/>
    <s v="45642-YouTube"/>
  </r>
  <r>
    <x v="33"/>
    <x v="0"/>
    <n v="601"/>
    <n v="159"/>
    <n v="327722"/>
    <n v="3.33"/>
    <n v="25267"/>
    <n v="1.3179245656389758E-2"/>
    <n v="442"/>
    <s v="45635-YouTube"/>
  </r>
  <r>
    <x v="33"/>
    <x v="1"/>
    <n v="841"/>
    <n v="295"/>
    <n v="271638"/>
    <n v="9.15"/>
    <n v="5900"/>
    <n v="0.15508474576271186"/>
    <n v="546"/>
    <s v="45635-YouTube"/>
  </r>
  <r>
    <x v="33"/>
    <x v="2"/>
    <n v="1105"/>
    <n v="261"/>
    <n v="333851"/>
    <n v="6.03"/>
    <n v="11181"/>
    <n v="5.3930775422591899E-2"/>
    <n v="844"/>
    <s v="45635-YouTube"/>
  </r>
  <r>
    <x v="34"/>
    <x v="0"/>
    <n v="566"/>
    <n v="225"/>
    <n v="368984"/>
    <n v="9.82"/>
    <n v="9592"/>
    <n v="0.10237698081734779"/>
    <n v="341"/>
    <s v="45628-YouTube"/>
  </r>
  <r>
    <x v="34"/>
    <x v="1"/>
    <n v="1149"/>
    <n v="280"/>
    <n v="167310"/>
    <n v="3.7"/>
    <n v="5291"/>
    <n v="6.9930069930069935E-2"/>
    <n v="869"/>
    <s v="45628-YouTube"/>
  </r>
  <r>
    <x v="34"/>
    <x v="2"/>
    <n v="819"/>
    <n v="101"/>
    <n v="194811"/>
    <n v="3.35"/>
    <n v="22244"/>
    <n v="1.5060240963855423E-2"/>
    <n v="718"/>
    <s v="45628-YouTube"/>
  </r>
  <r>
    <x v="35"/>
    <x v="0"/>
    <n v="795"/>
    <n v="60"/>
    <n v="314982"/>
    <n v="7.31"/>
    <n v="6824"/>
    <n v="0.1071219226260258"/>
    <n v="735"/>
    <s v="45621-YouTube"/>
  </r>
  <r>
    <x v="35"/>
    <x v="1"/>
    <n v="681"/>
    <n v="158"/>
    <n v="75960"/>
    <n v="3.13"/>
    <n v="24112"/>
    <n v="1.2981088254810882E-2"/>
    <n v="523"/>
    <s v="45621-YouTube"/>
  </r>
  <r>
    <x v="35"/>
    <x v="2"/>
    <n v="534"/>
    <n v="112"/>
    <n v="360759"/>
    <n v="4.8899999999999997"/>
    <n v="25478"/>
    <n v="1.9193029280163278E-2"/>
    <n v="422"/>
    <s v="45621-YouTube"/>
  </r>
  <r>
    <x v="36"/>
    <x v="0"/>
    <n v="1066"/>
    <n v="151"/>
    <n v="297090"/>
    <n v="8.6300000000000008"/>
    <n v="11235"/>
    <n v="7.6813529149977758E-2"/>
    <n v="915"/>
    <s v="45614-YouTube"/>
  </r>
  <r>
    <x v="36"/>
    <x v="1"/>
    <n v="1270"/>
    <n v="162"/>
    <n v="92040"/>
    <n v="8.0299999999999994"/>
    <n v="6120"/>
    <n v="0.13120915032679736"/>
    <n v="1108"/>
    <s v="45614-YouTube"/>
  </r>
  <r>
    <x v="36"/>
    <x v="2"/>
    <n v="536"/>
    <n v="198"/>
    <n v="174610"/>
    <n v="7.85"/>
    <n v="20572"/>
    <n v="3.8158662259381686E-2"/>
    <n v="338"/>
    <s v="45614-YouTube"/>
  </r>
  <r>
    <x v="37"/>
    <x v="0"/>
    <n v="819"/>
    <n v="95"/>
    <n v="177376"/>
    <n v="6.12"/>
    <n v="14975"/>
    <n v="4.0868113522537566E-2"/>
    <n v="724"/>
    <s v="45607-YouTube"/>
  </r>
  <r>
    <x v="37"/>
    <x v="1"/>
    <n v="681"/>
    <n v="218"/>
    <n v="198882"/>
    <n v="7.16"/>
    <n v="22234"/>
    <n v="3.2202932445803724E-2"/>
    <n v="463"/>
    <s v="45607-YouTube"/>
  </r>
  <r>
    <x v="37"/>
    <x v="2"/>
    <n v="646"/>
    <n v="290"/>
    <n v="336383"/>
    <n v="7.04"/>
    <n v="6532"/>
    <n v="0.10777709736680956"/>
    <n v="356"/>
    <s v="45607-YouTube"/>
  </r>
  <r>
    <x v="38"/>
    <x v="0"/>
    <n v="645"/>
    <n v="267"/>
    <n v="346890"/>
    <n v="3.71"/>
    <n v="24858"/>
    <n v="1.4924772708987047E-2"/>
    <n v="378"/>
    <s v="45600-YouTube"/>
  </r>
  <r>
    <x v="38"/>
    <x v="1"/>
    <n v="886"/>
    <n v="250"/>
    <n v="168170"/>
    <n v="4.12"/>
    <n v="13883"/>
    <n v="2.967658287113736E-2"/>
    <n v="636"/>
    <s v="45600-YouTube"/>
  </r>
  <r>
    <x v="38"/>
    <x v="2"/>
    <n v="978"/>
    <n v="279"/>
    <n v="368872"/>
    <n v="6.82"/>
    <n v="18654"/>
    <n v="3.6560523212179695E-2"/>
    <n v="699"/>
    <s v="45600-YouTube"/>
  </r>
  <r>
    <x v="39"/>
    <x v="0"/>
    <n v="1444"/>
    <n v="165"/>
    <n v="116436"/>
    <n v="8.2200000000000006"/>
    <n v="25234"/>
    <n v="3.2575097091226128E-2"/>
    <n v="1279"/>
    <s v="45593-YouTube"/>
  </r>
  <r>
    <x v="39"/>
    <x v="1"/>
    <n v="1234"/>
    <n v="228"/>
    <n v="127502"/>
    <n v="7.71"/>
    <n v="6772"/>
    <n v="0.11385115180153574"/>
    <n v="1006"/>
    <s v="45593-YouTube"/>
  </r>
  <r>
    <x v="39"/>
    <x v="2"/>
    <n v="665"/>
    <n v="187"/>
    <n v="274567"/>
    <n v="7.39"/>
    <n v="22428"/>
    <n v="3.2949884073479575E-2"/>
    <n v="478"/>
    <s v="45593-YouTube"/>
  </r>
  <r>
    <x v="40"/>
    <x v="0"/>
    <n v="631"/>
    <n v="86"/>
    <n v="295090"/>
    <n v="7.89"/>
    <n v="11911"/>
    <n v="6.6241289564268321E-2"/>
    <n v="545"/>
    <s v="45586-YouTube"/>
  </r>
  <r>
    <x v="40"/>
    <x v="1"/>
    <n v="1159"/>
    <n v="154"/>
    <n v="194994"/>
    <n v="6.39"/>
    <n v="21900"/>
    <n v="2.9178082191780821E-2"/>
    <n v="1005"/>
    <s v="45586-YouTube"/>
  </r>
  <r>
    <x v="40"/>
    <x v="2"/>
    <n v="950"/>
    <n v="185"/>
    <n v="340750"/>
    <n v="6.77"/>
    <n v="25542"/>
    <n v="2.6505363714666035E-2"/>
    <n v="765"/>
    <s v="45586-YouTube"/>
  </r>
  <r>
    <x v="41"/>
    <x v="0"/>
    <n v="693"/>
    <n v="129"/>
    <n v="296031"/>
    <n v="3.41"/>
    <n v="7140"/>
    <n v="4.7759103641456586E-2"/>
    <n v="564"/>
    <s v="45579-YouTube"/>
  </r>
  <r>
    <x v="41"/>
    <x v="1"/>
    <n v="576"/>
    <n v="80"/>
    <n v="345688"/>
    <n v="4.1100000000000003"/>
    <n v="20474"/>
    <n v="2.0074240500146528E-2"/>
    <n v="496"/>
    <s v="45579-YouTube"/>
  </r>
  <r>
    <x v="41"/>
    <x v="2"/>
    <n v="1274"/>
    <n v="146"/>
    <n v="263488"/>
    <n v="9.58"/>
    <n v="8698"/>
    <n v="0.11014026212922512"/>
    <n v="1128"/>
    <s v="45579-YouTube"/>
  </r>
  <r>
    <x v="42"/>
    <x v="0"/>
    <n v="818"/>
    <n v="253"/>
    <n v="184911"/>
    <n v="3.39"/>
    <n v="10402"/>
    <n v="3.2589886560276872E-2"/>
    <n v="565"/>
    <s v="45572-YouTube"/>
  </r>
  <r>
    <x v="42"/>
    <x v="1"/>
    <n v="975"/>
    <n v="162"/>
    <n v="124497"/>
    <n v="9.58"/>
    <n v="26618"/>
    <n v="3.5990682996468557E-2"/>
    <n v="813"/>
    <s v="45572-YouTube"/>
  </r>
  <r>
    <x v="42"/>
    <x v="2"/>
    <n v="1398"/>
    <n v="97"/>
    <n v="397607"/>
    <n v="5.09"/>
    <n v="7975"/>
    <n v="6.3824451410658303E-2"/>
    <n v="1301"/>
    <s v="45572-YouTube"/>
  </r>
  <r>
    <x v="43"/>
    <x v="0"/>
    <n v="591"/>
    <n v="155"/>
    <n v="138521"/>
    <n v="7.85"/>
    <n v="19054"/>
    <n v="4.1198698436023931E-2"/>
    <n v="436"/>
    <s v="45565-YouTube"/>
  </r>
  <r>
    <x v="43"/>
    <x v="1"/>
    <n v="1232"/>
    <n v="254"/>
    <n v="107718"/>
    <n v="9.7100000000000009"/>
    <n v="13740"/>
    <n v="7.0669577874818049E-2"/>
    <n v="978"/>
    <s v="45565-YouTube"/>
  </r>
  <r>
    <x v="43"/>
    <x v="2"/>
    <n v="1425"/>
    <n v="58"/>
    <n v="202234"/>
    <n v="6.67"/>
    <n v="18442"/>
    <n v="3.6167443878104326E-2"/>
    <n v="1367"/>
    <s v="45565-YouTube"/>
  </r>
  <r>
    <x v="44"/>
    <x v="0"/>
    <n v="1417"/>
    <n v="80"/>
    <n v="340987"/>
    <n v="6.13"/>
    <n v="10104"/>
    <n v="6.0669041963578779E-2"/>
    <n v="1337"/>
    <s v="45558-YouTube"/>
  </r>
  <r>
    <x v="44"/>
    <x v="1"/>
    <n v="1222"/>
    <n v="208"/>
    <n v="340098"/>
    <n v="7.34"/>
    <n v="21771"/>
    <n v="3.3714574433879929E-2"/>
    <n v="1014"/>
    <s v="45558-YouTube"/>
  </r>
  <r>
    <x v="44"/>
    <x v="2"/>
    <n v="1071"/>
    <n v="131"/>
    <n v="254727"/>
    <n v="6.87"/>
    <n v="22191"/>
    <n v="3.0958496687846424E-2"/>
    <n v="940"/>
    <s v="45558-YouTube"/>
  </r>
  <r>
    <x v="45"/>
    <x v="0"/>
    <n v="772"/>
    <n v="82"/>
    <n v="345659"/>
    <n v="3.52"/>
    <n v="27753"/>
    <n v="1.2683313515655966E-2"/>
    <n v="690"/>
    <s v="45551-YouTube"/>
  </r>
  <r>
    <x v="45"/>
    <x v="1"/>
    <n v="1472"/>
    <n v="137"/>
    <n v="213950"/>
    <n v="6.96"/>
    <n v="23736"/>
    <n v="2.9322548028311426E-2"/>
    <n v="1335"/>
    <s v="45551-YouTube"/>
  </r>
  <r>
    <x v="45"/>
    <x v="2"/>
    <n v="1472"/>
    <n v="281"/>
    <n v="258115"/>
    <n v="7.23"/>
    <n v="27393"/>
    <n v="2.6393604205453947E-2"/>
    <n v="1191"/>
    <s v="45551-YouTube"/>
  </r>
  <r>
    <x v="46"/>
    <x v="0"/>
    <n v="585"/>
    <n v="232"/>
    <n v="321258"/>
    <n v="7.42"/>
    <n v="10343"/>
    <n v="7.1739340616842312E-2"/>
    <n v="353"/>
    <s v="45544-YouTube"/>
  </r>
  <r>
    <x v="46"/>
    <x v="1"/>
    <n v="747"/>
    <n v="261"/>
    <n v="338650"/>
    <n v="7.73"/>
    <n v="25259"/>
    <n v="3.0602953402747539E-2"/>
    <n v="486"/>
    <s v="45544-YouTube"/>
  </r>
  <r>
    <x v="46"/>
    <x v="2"/>
    <n v="1113"/>
    <n v="224"/>
    <n v="272989"/>
    <n v="5.13"/>
    <n v="24827"/>
    <n v="2.0662987876102629E-2"/>
    <n v="889"/>
    <s v="45544-YouTube"/>
  </r>
  <r>
    <x v="47"/>
    <x v="0"/>
    <n v="1100"/>
    <n v="117"/>
    <n v="260204"/>
    <n v="4.4000000000000004"/>
    <n v="11908"/>
    <n v="3.6949949613705076E-2"/>
    <n v="983"/>
    <s v="45537-YouTube"/>
  </r>
  <r>
    <x v="47"/>
    <x v="1"/>
    <n v="751"/>
    <n v="170"/>
    <n v="283278"/>
    <n v="3.49"/>
    <n v="11005"/>
    <n v="3.1712857791912769E-2"/>
    <n v="581"/>
    <s v="45537-YouTube"/>
  </r>
  <r>
    <x v="47"/>
    <x v="2"/>
    <n v="864"/>
    <n v="50"/>
    <n v="277445"/>
    <n v="3.57"/>
    <n v="26333"/>
    <n v="1.3557133634602968E-2"/>
    <n v="814"/>
    <s v="45537-YouTube"/>
  </r>
  <r>
    <x v="48"/>
    <x v="0"/>
    <n v="1146"/>
    <n v="227"/>
    <n v="353781"/>
    <n v="6.41"/>
    <n v="5495"/>
    <n v="0.11665150136487717"/>
    <n v="919"/>
    <s v="45530-YouTube"/>
  </r>
  <r>
    <x v="48"/>
    <x v="1"/>
    <n v="883"/>
    <n v="207"/>
    <n v="265019"/>
    <n v="6.04"/>
    <n v="15655"/>
    <n v="3.8581922708399871E-2"/>
    <n v="676"/>
    <s v="45530-YouTube"/>
  </r>
  <r>
    <x v="48"/>
    <x v="2"/>
    <n v="622"/>
    <n v="163"/>
    <n v="231925"/>
    <n v="9.18"/>
    <n v="13763"/>
    <n v="6.6700574002761026E-2"/>
    <n v="459"/>
    <s v="45530-YouTube"/>
  </r>
  <r>
    <x v="49"/>
    <x v="0"/>
    <n v="837"/>
    <n v="261"/>
    <n v="366149"/>
    <n v="6.54"/>
    <n v="26073"/>
    <n v="2.5083419629501787E-2"/>
    <n v="576"/>
    <s v="45523-YouTube"/>
  </r>
  <r>
    <x v="49"/>
    <x v="1"/>
    <n v="544"/>
    <n v="97"/>
    <n v="168375"/>
    <n v="8.66"/>
    <n v="12774"/>
    <n v="6.7793956474087994E-2"/>
    <n v="447"/>
    <s v="45523-YouTube"/>
  </r>
  <r>
    <x v="49"/>
    <x v="2"/>
    <n v="624"/>
    <n v="247"/>
    <n v="252763"/>
    <n v="3.89"/>
    <n v="19000"/>
    <n v="2.0473684210526318E-2"/>
    <n v="377"/>
    <s v="45523-YouTube"/>
  </r>
  <r>
    <x v="50"/>
    <x v="0"/>
    <n v="1073"/>
    <n v="141"/>
    <n v="118393"/>
    <n v="7.95"/>
    <n v="14051"/>
    <n v="5.6579602875240199E-2"/>
    <n v="932"/>
    <s v="45516-YouTube"/>
  </r>
  <r>
    <x v="50"/>
    <x v="1"/>
    <n v="1430"/>
    <n v="74"/>
    <n v="327012"/>
    <n v="6.66"/>
    <n v="27782"/>
    <n v="2.3972356201857319E-2"/>
    <n v="1356"/>
    <s v="45516-YouTube"/>
  </r>
  <r>
    <x v="50"/>
    <x v="2"/>
    <n v="1358"/>
    <n v="77"/>
    <n v="169688"/>
    <n v="5.25"/>
    <n v="7859"/>
    <n v="6.6802392161852658E-2"/>
    <n v="1281"/>
    <s v="45516-YouTube"/>
  </r>
  <r>
    <x v="51"/>
    <x v="0"/>
    <n v="1242"/>
    <n v="201"/>
    <n v="271935"/>
    <n v="5.07"/>
    <n v="15773"/>
    <n v="3.2143536423001336E-2"/>
    <n v="1041"/>
    <s v="45509-YouTube"/>
  </r>
  <r>
    <x v="51"/>
    <x v="1"/>
    <n v="1389"/>
    <n v="205"/>
    <n v="315981"/>
    <n v="7.62"/>
    <n v="20595"/>
    <n v="3.699927166788055E-2"/>
    <n v="1184"/>
    <s v="45509-YouTube"/>
  </r>
  <r>
    <x v="51"/>
    <x v="2"/>
    <n v="826"/>
    <n v="142"/>
    <n v="341016"/>
    <n v="7.44"/>
    <n v="12031"/>
    <n v="6.1840246031086364E-2"/>
    <n v="684"/>
    <s v="45509-YouTube"/>
  </r>
  <r>
    <x v="52"/>
    <x v="0"/>
    <n v="618"/>
    <n v="264"/>
    <n v="285164"/>
    <n v="4.8600000000000003"/>
    <n v="15128"/>
    <n v="3.2125859333685877E-2"/>
    <n v="354"/>
    <s v="45502-YouTube"/>
  </r>
  <r>
    <x v="52"/>
    <x v="1"/>
    <n v="1419"/>
    <n v="293"/>
    <n v="116632"/>
    <n v="6.93"/>
    <n v="11826"/>
    <n v="5.8599695585996953E-2"/>
    <n v="1126"/>
    <s v="45502-YouTube"/>
  </r>
  <r>
    <x v="52"/>
    <x v="2"/>
    <n v="637"/>
    <n v="68"/>
    <n v="115694"/>
    <n v="9.99"/>
    <n v="12562"/>
    <n v="7.9525553255850978E-2"/>
    <n v="569"/>
    <s v="45502-YouTube"/>
  </r>
  <r>
    <x v="53"/>
    <x v="0"/>
    <n v="917"/>
    <n v="187"/>
    <n v="64444"/>
    <n v="5.22"/>
    <n v="13013"/>
    <n v="4.0113732421424728E-2"/>
    <n v="730"/>
    <s v="45495-YouTube"/>
  </r>
  <r>
    <x v="53"/>
    <x v="1"/>
    <n v="810"/>
    <n v="232"/>
    <n v="362559"/>
    <n v="5.17"/>
    <n v="12937"/>
    <n v="3.9962897116796785E-2"/>
    <n v="578"/>
    <s v="45495-YouTube"/>
  </r>
  <r>
    <x v="53"/>
    <x v="2"/>
    <n v="1183"/>
    <n v="248"/>
    <n v="226881"/>
    <n v="5.17"/>
    <n v="14534"/>
    <n v="3.5571762763176001E-2"/>
    <n v="935"/>
    <s v="45495-YouTube"/>
  </r>
  <r>
    <x v="54"/>
    <x v="0"/>
    <n v="765"/>
    <n v="67"/>
    <n v="283537"/>
    <n v="6.18"/>
    <n v="8182"/>
    <n v="7.5531654852114383E-2"/>
    <n v="698"/>
    <s v="45488-YouTube"/>
  </r>
  <r>
    <x v="54"/>
    <x v="1"/>
    <n v="540"/>
    <n v="215"/>
    <n v="62837"/>
    <n v="5.3"/>
    <n v="10615"/>
    <n v="4.9929345266132831E-2"/>
    <n v="325"/>
    <s v="45488-YouTube"/>
  </r>
  <r>
    <x v="54"/>
    <x v="2"/>
    <n v="1145"/>
    <n v="151"/>
    <n v="182759"/>
    <n v="5.99"/>
    <n v="20109"/>
    <n v="2.978765726789E-2"/>
    <n v="994"/>
    <s v="45488-YouTube"/>
  </r>
  <r>
    <x v="55"/>
    <x v="0"/>
    <n v="564"/>
    <n v="244"/>
    <n v="279405"/>
    <n v="8.43"/>
    <n v="26024"/>
    <n v="3.239317553027974E-2"/>
    <n v="320"/>
    <s v="45481-YouTube"/>
  </r>
  <r>
    <x v="55"/>
    <x v="1"/>
    <n v="668"/>
    <n v="124"/>
    <n v="257485"/>
    <n v="7.55"/>
    <n v="26730"/>
    <n v="2.824541713430602E-2"/>
    <n v="544"/>
    <s v="45481-YouTube"/>
  </r>
  <r>
    <x v="55"/>
    <x v="2"/>
    <n v="761"/>
    <n v="241"/>
    <n v="154977"/>
    <n v="5.63"/>
    <n v="10563"/>
    <n v="5.3299252106409165E-2"/>
    <n v="520"/>
    <s v="45481-YouTube"/>
  </r>
  <r>
    <x v="56"/>
    <x v="0"/>
    <n v="593"/>
    <n v="108"/>
    <n v="216500"/>
    <n v="4.71"/>
    <n v="27575"/>
    <n v="1.7080689029918404E-2"/>
    <n v="485"/>
    <s v="45474-YouTube"/>
  </r>
  <r>
    <x v="56"/>
    <x v="1"/>
    <n v="1349"/>
    <n v="115"/>
    <n v="102102"/>
    <n v="5.28"/>
    <n v="14479"/>
    <n v="3.6466606809862565E-2"/>
    <n v="1234"/>
    <s v="45474-YouTube"/>
  </r>
  <r>
    <x v="56"/>
    <x v="2"/>
    <n v="693"/>
    <n v="97"/>
    <n v="92025"/>
    <n v="5.95"/>
    <n v="15915"/>
    <n v="3.73861137291863E-2"/>
    <n v="596"/>
    <s v="45474-YouTube"/>
  </r>
  <r>
    <x v="57"/>
    <x v="0"/>
    <n v="974"/>
    <n v="143"/>
    <n v="247965"/>
    <n v="9.98"/>
    <n v="12767"/>
    <n v="7.8170282760241253E-2"/>
    <n v="831"/>
    <s v="45467-YouTube"/>
  </r>
  <r>
    <x v="57"/>
    <x v="1"/>
    <n v="1155"/>
    <n v="122"/>
    <n v="387352"/>
    <n v="9.93"/>
    <n v="12170"/>
    <n v="8.1594083812654067E-2"/>
    <n v="1033"/>
    <s v="45467-YouTube"/>
  </r>
  <r>
    <x v="57"/>
    <x v="2"/>
    <n v="1051"/>
    <n v="246"/>
    <n v="253985"/>
    <n v="9.08"/>
    <n v="7245"/>
    <n v="0.12532781228433404"/>
    <n v="805"/>
    <s v="45467-YouTube"/>
  </r>
  <r>
    <x v="58"/>
    <x v="0"/>
    <n v="1457"/>
    <n v="183"/>
    <n v="129640"/>
    <n v="7.98"/>
    <n v="12985"/>
    <n v="6.1455525606469011E-2"/>
    <n v="1274"/>
    <s v="45460-YouTube"/>
  </r>
  <r>
    <x v="58"/>
    <x v="1"/>
    <n v="670"/>
    <n v="242"/>
    <n v="281913"/>
    <n v="9.6199999999999992"/>
    <n v="16377"/>
    <n v="5.874091713989131E-2"/>
    <n v="428"/>
    <s v="45460-YouTube"/>
  </r>
  <r>
    <x v="58"/>
    <x v="2"/>
    <n v="1111"/>
    <n v="159"/>
    <n v="360770"/>
    <n v="8.7100000000000009"/>
    <n v="11453"/>
    <n v="7.6049943246311022E-2"/>
    <n v="952"/>
    <s v="45460-YouTube"/>
  </r>
  <r>
    <x v="59"/>
    <x v="0"/>
    <n v="1197"/>
    <n v="246"/>
    <n v="127273"/>
    <n v="6.69"/>
    <n v="12323"/>
    <n v="5.428872839405989E-2"/>
    <n v="951"/>
    <s v="45453-YouTube"/>
  </r>
  <r>
    <x v="59"/>
    <x v="1"/>
    <n v="754"/>
    <n v="150"/>
    <n v="189622"/>
    <n v="4.25"/>
    <n v="11911"/>
    <n v="3.5681302997229457E-2"/>
    <n v="604"/>
    <s v="45453-YouTube"/>
  </r>
  <r>
    <x v="59"/>
    <x v="2"/>
    <n v="1246"/>
    <n v="107"/>
    <n v="350949"/>
    <n v="4.9800000000000004"/>
    <n v="27809"/>
    <n v="1.7907871552375134E-2"/>
    <n v="1139"/>
    <s v="45453-YouTube"/>
  </r>
  <r>
    <x v="60"/>
    <x v="0"/>
    <n v="780"/>
    <n v="213"/>
    <n v="121431"/>
    <n v="4.97"/>
    <n v="21464"/>
    <n v="2.315505031680954E-2"/>
    <n v="567"/>
    <s v="45446-YouTube"/>
  </r>
  <r>
    <x v="60"/>
    <x v="1"/>
    <n v="1425"/>
    <n v="143"/>
    <n v="116742"/>
    <n v="3.71"/>
    <n v="27126"/>
    <n v="1.3676915136769151E-2"/>
    <n v="1282"/>
    <s v="45446-YouTube"/>
  </r>
  <r>
    <x v="60"/>
    <x v="2"/>
    <n v="1490"/>
    <n v="103"/>
    <n v="81184"/>
    <n v="7.79"/>
    <n v="10681"/>
    <n v="7.2933245950753678E-2"/>
    <n v="1387"/>
    <s v="45446-YouTube"/>
  </r>
  <r>
    <x v="61"/>
    <x v="0"/>
    <n v="949"/>
    <n v="282"/>
    <n v="87126"/>
    <n v="4.96"/>
    <n v="5413"/>
    <n v="9.1631258082394237E-2"/>
    <n v="667"/>
    <s v="45467-Twitter"/>
  </r>
  <r>
    <x v="61"/>
    <x v="1"/>
    <n v="640"/>
    <n v="141"/>
    <n v="267546"/>
    <n v="8.58"/>
    <n v="25058"/>
    <n v="3.4240561896400352E-2"/>
    <n v="499"/>
    <s v="45467-Twitter"/>
  </r>
  <r>
    <x v="61"/>
    <x v="2"/>
    <n v="616"/>
    <n v="93"/>
    <n v="133082"/>
    <n v="8.51"/>
    <n v="18303"/>
    <n v="4.6495110091241874E-2"/>
    <n v="523"/>
    <s v="45460-Twitter"/>
  </r>
  <r>
    <x v="62"/>
    <x v="0"/>
    <n v="1080"/>
    <n v="184"/>
    <n v="340557"/>
    <n v="5.41"/>
    <n v="5526"/>
    <n v="9.7900832428519713E-2"/>
    <n v="896"/>
    <s v="45460-Twitter"/>
  </r>
  <r>
    <x v="62"/>
    <x v="1"/>
    <n v="938"/>
    <n v="236"/>
    <n v="116472"/>
    <n v="8.7200000000000006"/>
    <n v="17460"/>
    <n v="4.9942726231386028E-2"/>
    <n v="702"/>
    <s v="45460-Twitter"/>
  </r>
  <r>
    <x v="62"/>
    <x v="2"/>
    <n v="1007"/>
    <n v="258"/>
    <n v="113412"/>
    <n v="7.71"/>
    <n v="14475"/>
    <n v="5.3264248704663217E-2"/>
    <n v="749"/>
    <s v="45453-Twitter"/>
  </r>
  <r>
    <x v="63"/>
    <x v="0"/>
    <n v="541"/>
    <n v="208"/>
    <n v="157547"/>
    <n v="8.35"/>
    <n v="20162"/>
    <n v="4.1414542208114268E-2"/>
    <n v="333"/>
    <s v="45453-Twitter"/>
  </r>
  <r>
    <x v="63"/>
    <x v="1"/>
    <n v="745"/>
    <n v="98"/>
    <n v="354816"/>
    <n v="4.03"/>
    <n v="17103"/>
    <n v="2.3563117581710813E-2"/>
    <n v="647"/>
    <s v="45453-Twitter"/>
  </r>
  <r>
    <x v="63"/>
    <x v="2"/>
    <n v="936"/>
    <n v="97"/>
    <n v="151799"/>
    <n v="9.3699999999999992"/>
    <n v="15461"/>
    <n v="6.0604100640320804E-2"/>
    <n v="839"/>
    <s v="45446-Twitter"/>
  </r>
  <r>
    <x v="64"/>
    <x v="0"/>
    <n v="1183"/>
    <n v="223"/>
    <n v="143811"/>
    <n v="6.07"/>
    <n v="22103"/>
    <n v="2.7462335429579696E-2"/>
    <n v="960"/>
    <s v="45446-Twitter"/>
  </r>
  <r>
    <x v="64"/>
    <x v="1"/>
    <n v="1413"/>
    <n v="245"/>
    <n v="296450"/>
    <n v="6.52"/>
    <n v="11625"/>
    <n v="5.6086021505376338E-2"/>
    <n v="1168"/>
    <s v="45446-Twitter"/>
  </r>
  <r>
    <x v="64"/>
    <x v="2"/>
    <n v="791"/>
    <n v="273"/>
    <n v="144049"/>
    <n v="3.08"/>
    <n v="5281"/>
    <n v="5.8322287445559548E-2"/>
    <n v="518"/>
    <s v="45446-Instagram"/>
  </r>
  <r>
    <x v="65"/>
    <x v="0"/>
    <n v="1052"/>
    <n v="180"/>
    <n v="272534"/>
    <n v="5.34"/>
    <n v="13424"/>
    <n v="3.977949940405244E-2"/>
    <n v="872"/>
    <s v="45446-Instagram"/>
  </r>
  <r>
    <x v="65"/>
    <x v="1"/>
    <n v="572"/>
    <n v="270"/>
    <n v="82265"/>
    <n v="3.65"/>
    <n v="13140"/>
    <n v="2.7777777777777776E-2"/>
    <n v="302"/>
    <s v="45446-Instagram"/>
  </r>
  <r>
    <x v="65"/>
    <x v="2"/>
    <n v="503"/>
    <n v="253"/>
    <n v="313562"/>
    <n v="4.18"/>
    <n v="19538"/>
    <n v="2.1394206162350292E-2"/>
    <n v="250"/>
    <s v="45446-Instagram"/>
  </r>
  <r>
    <x v="66"/>
    <x v="0"/>
    <n v="1017"/>
    <n v="197"/>
    <n v="89918"/>
    <n v="3.91"/>
    <n v="7881"/>
    <n v="4.9612993274965107E-2"/>
    <n v="820"/>
    <s v="45446-Instagram"/>
  </r>
  <r>
    <x v="66"/>
    <x v="1"/>
    <n v="860"/>
    <n v="244"/>
    <n v="348686"/>
    <n v="5.12"/>
    <n v="11418"/>
    <n v="4.4841478367489931E-2"/>
    <n v="616"/>
    <s v="45446-Twitt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d v="2025-05-04T00:00:00"/>
    <x v="0"/>
    <x v="0"/>
    <n v="2414"/>
    <n v="245"/>
    <n v="137"/>
    <n v="21181"/>
    <n v="45292"/>
    <n v="133"/>
    <x v="0"/>
    <x v="0"/>
    <s v="ChillVibes"/>
    <s v="Before"/>
    <n v="9.7610068917312969"/>
    <n v="10.163581484835261"/>
    <n v="9.1635814848352606"/>
    <n v="13.82843114111704"/>
  </r>
  <r>
    <x v="1"/>
    <x v="0"/>
    <d v="2025-02-01T00:00:00"/>
    <x v="0"/>
    <x v="1"/>
    <n v="1934"/>
    <n v="210"/>
    <n v="393"/>
    <n v="29129"/>
    <n v="73287"/>
    <n v="273"/>
    <x v="1"/>
    <x v="1"/>
    <s v="IndieWave"/>
    <s v="Before"/>
    <n v="9.7464803765549188"/>
    <n v="10.605536770317146"/>
    <n v="9.6055367703171459"/>
    <n v="9.6467437948436263"/>
  </r>
  <r>
    <x v="2"/>
    <x v="1"/>
    <d v="2024-12-03T00:00:00"/>
    <x v="1"/>
    <x v="2"/>
    <n v="3092"/>
    <n v="177"/>
    <n v="81"/>
    <n v="47533"/>
    <n v="29220"/>
    <n v="121"/>
    <x v="2"/>
    <x v="0"/>
    <s v="ChillVibes"/>
    <s v="Before"/>
    <n v="9.7468378553424149"/>
    <n v="10.282142177085355"/>
    <n v="9.2821421770853547"/>
    <n v="7.3022952475122542"/>
  </r>
  <r>
    <x v="3"/>
    <x v="0"/>
    <d v="2024-12-03T00:00:00"/>
    <x v="0"/>
    <x v="3"/>
    <n v="3173"/>
    <n v="229"/>
    <n v="197"/>
    <n v="29604"/>
    <n v="21809"/>
    <n v="272"/>
    <x v="0"/>
    <x v="0"/>
    <s v="ChillVibes"/>
    <s v="Before"/>
    <n v="9.7556311740756172"/>
    <n v="10.91311941519192"/>
    <n v="9.91311941519192"/>
    <n v="13.075935684366977"/>
  </r>
  <r>
    <x v="4"/>
    <x v="2"/>
    <d v="2024-04-06T00:00:00"/>
    <x v="0"/>
    <x v="4"/>
    <n v="2748"/>
    <n v="145"/>
    <n v="315"/>
    <n v="24401"/>
    <n v="61182"/>
    <n v="200"/>
    <x v="1"/>
    <x v="2"/>
    <s v="IndieWave"/>
    <s v="Before"/>
    <n v="9.743644515193699"/>
    <n v="9.9255447620357415"/>
    <n v="8.9255447620357415"/>
    <n v="13.966640711446251"/>
  </r>
  <r>
    <x v="5"/>
    <x v="2"/>
    <d v="2024-06-13T00:00:00"/>
    <x v="0"/>
    <x v="5"/>
    <n v="3882"/>
    <n v="239"/>
    <n v="275"/>
    <n v="58748"/>
    <n v="44646"/>
    <n v="149"/>
    <x v="1"/>
    <x v="2"/>
    <s v="IndieWave"/>
    <s v="Before"/>
    <n v="9.7283438043377117"/>
    <n v="10.019713332075415"/>
    <n v="9.0197133320754155"/>
    <n v="7.7364335807176419"/>
  </r>
  <r>
    <x v="6"/>
    <x v="1"/>
    <d v="2024-12-19T00:00:00"/>
    <x v="1"/>
    <x v="6"/>
    <n v="4674"/>
    <n v="409"/>
    <n v="327"/>
    <n v="20756"/>
    <n v="63599"/>
    <n v="212"/>
    <x v="0"/>
    <x v="0"/>
    <s v="ChillVibes"/>
    <s v="Before"/>
    <n v="9.7355871142417865"/>
    <n v="8.269089524525949"/>
    <n v="7.269089524525949"/>
    <n v="27.086143765658122"/>
  </r>
  <r>
    <x v="7"/>
    <x v="1"/>
    <d v="2024-05-09T00:00:00"/>
    <x v="1"/>
    <x v="3"/>
    <n v="1428"/>
    <n v="347"/>
    <n v="67"/>
    <n v="21148"/>
    <n v="19712"/>
    <n v="120"/>
    <x v="1"/>
    <x v="3"/>
    <s v="ChillVibes"/>
    <s v="Before"/>
    <n v="9.672263914784061"/>
    <n v="8.5929798885975135"/>
    <n v="7.5929798885975135"/>
    <n v="9.2774730470966524"/>
  </r>
  <r>
    <x v="8"/>
    <x v="1"/>
    <d v="2025-06-15T00:00:00"/>
    <x v="0"/>
    <x v="7"/>
    <n v="4432"/>
    <n v="223"/>
    <n v="299"/>
    <n v="59016"/>
    <n v="21742"/>
    <n v="171"/>
    <x v="3"/>
    <x v="1"/>
    <s v="ChillVibes"/>
    <s v="Before"/>
    <n v="9.6737100351785195"/>
    <n v="9.2235106839108738"/>
    <n v="8.2235106839108738"/>
    <n v="8.6840856716822561"/>
  </r>
  <r>
    <x v="9"/>
    <x v="1"/>
    <d v="2024-12-04T00:00:00"/>
    <x v="0"/>
    <x v="3"/>
    <n v="2357"/>
    <n v="274"/>
    <n v="172"/>
    <n v="21566"/>
    <n v="66829"/>
    <n v="284"/>
    <x v="3"/>
    <x v="1"/>
    <s v="ChillVibes"/>
    <s v="Before"/>
    <n v="9.6773483600443164"/>
    <n v="8.5197495144691668"/>
    <n v="7.5197495144691668"/>
    <n v="14.314198275062598"/>
  </r>
  <r>
    <x v="10"/>
    <x v="1"/>
    <d v="2024-03-06T00:00:00"/>
    <x v="0"/>
    <x v="0"/>
    <n v="1971"/>
    <n v="370"/>
    <n v="306"/>
    <n v="31316"/>
    <n v="27897"/>
    <n v="88"/>
    <x v="0"/>
    <x v="1"/>
    <s v="IndieWave"/>
    <s v="Before"/>
    <n v="9.6602382127564255"/>
    <n v="9.0401893648498053"/>
    <n v="8.0401893648498053"/>
    <n v="8.7335547324051603"/>
  </r>
  <r>
    <x v="11"/>
    <x v="0"/>
    <d v="2024-05-14T00:00:00"/>
    <x v="0"/>
    <x v="0"/>
    <n v="1485"/>
    <n v="353"/>
    <n v="244"/>
    <n v="38419"/>
    <n v="38556"/>
    <n v="86"/>
    <x v="0"/>
    <x v="0"/>
    <s v="ChillVibes"/>
    <s v="Before"/>
    <n v="9.6636703737947638"/>
    <n v="9.2822898960370974"/>
    <n v="8.2822898960370974"/>
    <n v="5.6430412035711495"/>
  </r>
  <r>
    <x v="12"/>
    <x v="1"/>
    <d v="2025-06-18T00:00:00"/>
    <x v="1"/>
    <x v="0"/>
    <n v="3956"/>
    <n v="319"/>
    <n v="61"/>
    <n v="58162"/>
    <n v="28720"/>
    <n v="213"/>
    <x v="2"/>
    <x v="0"/>
    <s v="ChillVibes"/>
    <s v="Before"/>
    <n v="9.6786169506357442"/>
    <n v="7.7336256836387669"/>
    <n v="6.7336256836387669"/>
    <n v="7.8212578659605931"/>
  </r>
  <r>
    <x v="13"/>
    <x v="1"/>
    <d v="2024-10-08T00:00:00"/>
    <x v="0"/>
    <x v="8"/>
    <n v="2460"/>
    <n v="409"/>
    <n v="253"/>
    <n v="36702"/>
    <n v="46122"/>
    <n v="264"/>
    <x v="3"/>
    <x v="1"/>
    <s v="ChillVibes"/>
    <s v="Before"/>
    <n v="9.6855473949815458"/>
    <n v="8.5041076714725019"/>
    <n v="7.5041076714725019"/>
    <n v="9.225655277641545"/>
  </r>
  <r>
    <x v="14"/>
    <x v="1"/>
    <d v="2024-05-06T00:00:00"/>
    <x v="0"/>
    <x v="9"/>
    <n v="3476"/>
    <n v="355"/>
    <n v="396"/>
    <n v="37492"/>
    <n v="27285"/>
    <n v="179"/>
    <x v="3"/>
    <x v="1"/>
    <s v="ChillVibes"/>
    <s v="Before"/>
    <n v="9.6872698373685857"/>
    <n v="10.320443958048578"/>
    <n v="9.3204439580485783"/>
    <n v="11.75184039261709"/>
  </r>
  <r>
    <x v="15"/>
    <x v="1"/>
    <d v="2024-12-29T00:00:00"/>
    <x v="1"/>
    <x v="2"/>
    <n v="4049"/>
    <n v="377"/>
    <n v="94"/>
    <n v="48182"/>
    <n v="42875"/>
    <n v="172"/>
    <x v="2"/>
    <x v="0"/>
    <s v="ChillVibes"/>
    <s v="Before"/>
    <n v="9.6795082939278014"/>
    <n v="10.853483559661177"/>
    <n v="9.8534835596611767"/>
    <n v="9.7380764600888288"/>
  </r>
  <r>
    <x v="16"/>
    <x v="1"/>
    <d v="2024-06-10T00:00:00"/>
    <x v="0"/>
    <x v="5"/>
    <n v="1514"/>
    <n v="164"/>
    <n v="275"/>
    <n v="41364"/>
    <n v="44389"/>
    <n v="83"/>
    <x v="3"/>
    <x v="1"/>
    <s v="ChillVibes"/>
    <s v="Before"/>
    <n v="9.6792872819800255"/>
    <n v="9.0989430095988748"/>
    <n v="8.0989430095988748"/>
    <n v="4.9221545305096219"/>
  </r>
  <r>
    <x v="17"/>
    <x v="0"/>
    <d v="2024-02-03T00:00:00"/>
    <x v="1"/>
    <x v="4"/>
    <n v="4281"/>
    <n v="101"/>
    <n v="163"/>
    <n v="32278"/>
    <n v="53382"/>
    <n v="235"/>
    <x v="3"/>
    <x v="1"/>
    <s v="Wrapped2024"/>
    <s v="Before"/>
    <n v="9.6973067242204447"/>
    <n v="7.3855655866043621"/>
    <n v="6.3855655866043621"/>
    <n v="14.808848131854512"/>
  </r>
  <r>
    <x v="18"/>
    <x v="2"/>
    <d v="2024-06-15T00:00:00"/>
    <x v="2"/>
    <x v="6"/>
    <n v="1751"/>
    <n v="143"/>
    <n v="151"/>
    <n v="31826"/>
    <n v="47729"/>
    <n v="95"/>
    <x v="1"/>
    <x v="4"/>
    <s v="SummerBeats"/>
    <s v="During"/>
    <n v="9.6778712055602387"/>
    <n v="9.0252709351662546"/>
    <n v="8.0252709351662546"/>
    <n v="6.7240620876013315"/>
  </r>
  <r>
    <x v="19"/>
    <x v="0"/>
    <d v="2024-07-05T00:00:00"/>
    <x v="0"/>
    <x v="9"/>
    <n v="3753"/>
    <n v="411"/>
    <n v="308"/>
    <n v="29138"/>
    <n v="27678"/>
    <n v="90"/>
    <x v="1"/>
    <x v="1"/>
    <s v="IndieWave"/>
    <s v="During"/>
    <n v="9.6778712055602387"/>
    <n v="9.2825829410043799"/>
    <n v="8.2825829410043799"/>
    <n v="15.656530990459194"/>
  </r>
  <r>
    <x v="20"/>
    <x v="0"/>
    <d v="2024-11-07T00:00:00"/>
    <x v="1"/>
    <x v="3"/>
    <n v="1678"/>
    <n v="423"/>
    <n v="323"/>
    <n v="55668"/>
    <n v="37945"/>
    <n v="230"/>
    <x v="3"/>
    <x v="1"/>
    <s v="Wrapped2024"/>
    <s v="Before"/>
    <n v="9.6778712055602387"/>
    <n v="9.5255206969552297"/>
    <n v="8.5255206969552297"/>
    <n v="4.7675504778328666"/>
  </r>
  <r>
    <x v="21"/>
    <x v="0"/>
    <d v="2025-06-15T00:00:00"/>
    <x v="0"/>
    <x v="5"/>
    <n v="4896"/>
    <n v="466"/>
    <n v="233"/>
    <n v="28621"/>
    <n v="34270"/>
    <n v="84"/>
    <x v="0"/>
    <x v="0"/>
    <s v="ChillVibes"/>
    <s v="Before"/>
    <n v="9.6966128877271363"/>
    <n v="9.2242411706579936"/>
    <n v="8.2242411706579936"/>
    <n v="19.842074001607212"/>
  </r>
  <r>
    <x v="22"/>
    <x v="2"/>
    <d v="2024-06-09T00:00:00"/>
    <x v="2"/>
    <x v="8"/>
    <n v="2786"/>
    <n v="368"/>
    <n v="208"/>
    <n v="42000"/>
    <n v="39967"/>
    <n v="103"/>
    <x v="1"/>
    <x v="4"/>
    <s v="SummerBeats"/>
    <s v="Before"/>
    <n v="9.6577413892065209"/>
    <n v="9.0643083833149092"/>
    <n v="8.0643083833149092"/>
    <n v="8.25"/>
  </r>
  <r>
    <x v="23"/>
    <x v="1"/>
    <d v="2024-10-18T00:00:00"/>
    <x v="0"/>
    <x v="2"/>
    <n v="2607"/>
    <n v="379"/>
    <n v="180"/>
    <n v="28712"/>
    <n v="61620"/>
    <n v="174"/>
    <x v="0"/>
    <x v="1"/>
    <s v="IndieWave"/>
    <s v="Before"/>
    <n v="9.6631557791650078"/>
    <n v="10.968412046538038"/>
    <n v="9.9684120465380381"/>
    <n v="11.632766787405963"/>
  </r>
  <r>
    <x v="24"/>
    <x v="2"/>
    <d v="2024-10-10T00:00:00"/>
    <x v="2"/>
    <x v="8"/>
    <n v="4013"/>
    <n v="320"/>
    <n v="92"/>
    <n v="54605"/>
    <n v="60169"/>
    <n v="232"/>
    <x v="1"/>
    <x v="4"/>
    <s v="SummerBeats"/>
    <s v="Before"/>
    <n v="9.6555511034575137"/>
    <n v="7.3836065087929237"/>
    <n v="6.3836065087929237"/>
    <n v="8.5285230290266458"/>
  </r>
  <r>
    <x v="25"/>
    <x v="1"/>
    <d v="2025-05-14T00:00:00"/>
    <x v="1"/>
    <x v="8"/>
    <n v="2707"/>
    <n v="103"/>
    <n v="51"/>
    <n v="55302"/>
    <n v="18801"/>
    <n v="147"/>
    <x v="1"/>
    <x v="3"/>
    <s v="ChillVibes"/>
    <s v="Before"/>
    <n v="9.6599194293274024"/>
    <n v="10.078319139754413"/>
    <n v="9.078319139754413"/>
    <n v="5.4392246211710242"/>
  </r>
  <r>
    <x v="26"/>
    <x v="0"/>
    <d v="2024-11-29T00:00:00"/>
    <x v="0"/>
    <x v="5"/>
    <n v="2824"/>
    <n v="425"/>
    <n v="274"/>
    <n v="31004"/>
    <n v="53488"/>
    <n v="268"/>
    <x v="0"/>
    <x v="0"/>
    <s v="ChillVibes"/>
    <s v="Before"/>
    <n v="9.6763423663241177"/>
    <n v="10.675409342880513"/>
    <n v="9.6754093428805135"/>
    <n v="12.227454521997162"/>
  </r>
  <r>
    <x v="27"/>
    <x v="2"/>
    <d v="2024-03-05T00:00:00"/>
    <x v="2"/>
    <x v="1"/>
    <n v="3558"/>
    <n v="314"/>
    <n v="199"/>
    <n v="49612"/>
    <n v="53929"/>
    <n v="206"/>
    <x v="1"/>
    <x v="4"/>
    <s v="SummerBeats"/>
    <s v="Before"/>
    <n v="9.6663770844660206"/>
    <n v="11.518819646622994"/>
    <n v="10.518819646622994"/>
    <n v="8.6208981697976288"/>
  </r>
  <r>
    <x v="28"/>
    <x v="1"/>
    <d v="2025-03-18T00:00:00"/>
    <x v="1"/>
    <x v="1"/>
    <n v="3418"/>
    <n v="188"/>
    <n v="387"/>
    <n v="57431"/>
    <n v="36933"/>
    <n v="202"/>
    <x v="2"/>
    <x v="0"/>
    <s v="ChillVibes"/>
    <s v="Before"/>
    <n v="9.6704770017784458"/>
    <n v="9.5658192367087658"/>
    <n v="8.5658192367087658"/>
    <n v="7.3044174748829027"/>
  </r>
  <r>
    <x v="29"/>
    <x v="1"/>
    <d v="2025-04-26T00:00:00"/>
    <x v="0"/>
    <x v="0"/>
    <n v="2411"/>
    <n v="194"/>
    <n v="168"/>
    <n v="26665"/>
    <n v="71699"/>
    <n v="197"/>
    <x v="3"/>
    <x v="1"/>
    <s v="ChillVibes"/>
    <s v="Before"/>
    <n v="9.6797921967662237"/>
    <n v="9.9028710864031719"/>
    <n v="8.9028710864031719"/>
    <n v="11.138196137258578"/>
  </r>
  <r>
    <x v="30"/>
    <x v="0"/>
    <d v="2025-01-01T00:00:00"/>
    <x v="0"/>
    <x v="2"/>
    <n v="4036"/>
    <n v="112"/>
    <n v="382"/>
    <n v="56284"/>
    <n v="29440"/>
    <n v="279"/>
    <x v="0"/>
    <x v="0"/>
    <s v="ChillVibes"/>
    <s v="Before"/>
    <n v="9.6740277543136841"/>
    <n v="10.355705408281997"/>
    <n v="9.355705408281997"/>
    <n v="8.5441688579347606"/>
  </r>
  <r>
    <x v="31"/>
    <x v="1"/>
    <d v="2024-05-07T00:00:00"/>
    <x v="1"/>
    <x v="1"/>
    <n v="2776"/>
    <n v="307"/>
    <n v="178"/>
    <n v="43365"/>
    <n v="48408"/>
    <n v="138"/>
    <x v="0"/>
    <x v="0"/>
    <s v="ChillVibes"/>
    <s v="Before"/>
    <n v="9.6785113213628069"/>
    <n v="10.214922184392083"/>
    <n v="9.2149221843920834"/>
    <n v="7.8381182981667239"/>
  </r>
  <r>
    <x v="32"/>
    <x v="1"/>
    <d v="2024-10-09T00:00:00"/>
    <x v="1"/>
    <x v="0"/>
    <n v="4929"/>
    <n v="182"/>
    <n v="95"/>
    <n v="32181"/>
    <n v="31084"/>
    <n v="289"/>
    <x v="1"/>
    <x v="3"/>
    <s v="ChillVibes"/>
    <s v="Before"/>
    <n v="9.6858435644831093"/>
    <n v="9.6453822051468503"/>
    <n v="8.6453822051468503"/>
    <n v="17.075292874677604"/>
  </r>
  <r>
    <x v="33"/>
    <x v="0"/>
    <d v="2025-01-09T00:00:00"/>
    <x v="0"/>
    <x v="2"/>
    <n v="1015"/>
    <n v="366"/>
    <n v="308"/>
    <n v="38127"/>
    <n v="63790"/>
    <n v="287"/>
    <x v="0"/>
    <x v="0"/>
    <s v="ChillVibes"/>
    <s v="Before"/>
    <n v="9.6562857672423323"/>
    <n v="10.936467057733205"/>
    <n v="9.9364670577332053"/>
    <n v="5.1826789414325809"/>
  </r>
  <r>
    <x v="34"/>
    <x v="1"/>
    <d v="2025-05-08T00:00:00"/>
    <x v="1"/>
    <x v="9"/>
    <n v="3316"/>
    <n v="332"/>
    <n v="268"/>
    <n v="40095"/>
    <n v="36913"/>
    <n v="265"/>
    <x v="2"/>
    <x v="0"/>
    <s v="ChillVibes"/>
    <s v="Before"/>
    <n v="9.6742520597154638"/>
    <n v="10.515324751730827"/>
    <n v="9.5153247517308266"/>
    <n v="10.427734131437836"/>
  </r>
  <r>
    <x v="35"/>
    <x v="0"/>
    <d v="2024-05-04T00:00:00"/>
    <x v="0"/>
    <x v="3"/>
    <n v="2274"/>
    <n v="243"/>
    <n v="222"/>
    <n v="43066"/>
    <n v="59174"/>
    <n v="80"/>
    <x v="1"/>
    <x v="1"/>
    <s v="IndieWave"/>
    <s v="Before"/>
    <n v="9.6712138255552915"/>
    <n v="9.4835269417914869"/>
    <n v="8.4835269417914869"/>
    <n v="6.5457669623368782"/>
  </r>
  <r>
    <x v="36"/>
    <x v="1"/>
    <d v="2025-05-27T00:00:00"/>
    <x v="1"/>
    <x v="1"/>
    <n v="4095"/>
    <n v="385"/>
    <n v="400"/>
    <n v="45300"/>
    <n v="31795"/>
    <n v="80"/>
    <x v="2"/>
    <x v="0"/>
    <s v="ChillVibes"/>
    <s v="Before"/>
    <n v="9.683867456580467"/>
    <n v="8.281200462590153"/>
    <n v="7.281200462590153"/>
    <n v="10.949227373068434"/>
  </r>
  <r>
    <x v="37"/>
    <x v="0"/>
    <d v="2024-09-10T00:00:00"/>
    <x v="1"/>
    <x v="2"/>
    <n v="1230"/>
    <n v="309"/>
    <n v="207"/>
    <n v="44629"/>
    <n v="40699"/>
    <n v="195"/>
    <x v="3"/>
    <x v="1"/>
    <s v="Wrapped2024"/>
    <s v="Before"/>
    <n v="9.6787237170825478"/>
    <n v="9.4094156780260718"/>
    <n v="8.4094156780260718"/>
    <n v="4.3491899885724532"/>
  </r>
  <r>
    <x v="38"/>
    <x v="0"/>
    <d v="2024-11-25T00:00:00"/>
    <x v="0"/>
    <x v="8"/>
    <n v="1341"/>
    <n v="472"/>
    <n v="238"/>
    <n v="51386"/>
    <n v="51706"/>
    <n v="133"/>
    <x v="1"/>
    <x v="1"/>
    <s v="IndieWave"/>
    <s v="Before"/>
    <n v="9.7004769159744271"/>
    <n v="9.6458636777426321"/>
    <n v="8.6458636777426321"/>
    <n v="4.2501848752578519"/>
  </r>
  <r>
    <x v="39"/>
    <x v="1"/>
    <d v="2025-06-10T00:00:00"/>
    <x v="0"/>
    <x v="1"/>
    <n v="3615"/>
    <n v="192"/>
    <n v="162"/>
    <n v="27492"/>
    <n v="35341"/>
    <n v="125"/>
    <x v="3"/>
    <x v="1"/>
    <s v="ChillVibes"/>
    <s v="Before"/>
    <n v="9.72281417843638"/>
    <n v="9.1899229929957489"/>
    <n v="8.1899229929957489"/>
    <n v="14.891604830496144"/>
  </r>
  <r>
    <x v="40"/>
    <x v="0"/>
    <d v="2024-04-19T00:00:00"/>
    <x v="0"/>
    <x v="2"/>
    <n v="4001"/>
    <n v="353"/>
    <n v="129"/>
    <n v="41265"/>
    <n v="37279"/>
    <n v="275"/>
    <x v="0"/>
    <x v="0"/>
    <s v="ChillVibes"/>
    <s v="Before"/>
    <n v="9.7015434350122636"/>
    <n v="9.2323650214041777"/>
    <n v="8.2323650214041777"/>
    <n v="11.53035259905489"/>
  </r>
  <r>
    <x v="41"/>
    <x v="0"/>
    <d v="2025-01-26T00:00:00"/>
    <x v="1"/>
    <x v="5"/>
    <n v="3451"/>
    <n v="363"/>
    <n v="393"/>
    <n v="44853"/>
    <n v="69032"/>
    <n v="211"/>
    <x v="3"/>
    <x v="1"/>
    <s v="Wrapped2024"/>
    <s v="Before"/>
    <n v="9.6939863723509312"/>
    <n v="8.486730717464793"/>
    <n v="7.486730717464793"/>
    <n v="9.8499542951419077"/>
  </r>
  <r>
    <x v="42"/>
    <x v="0"/>
    <d v="2025-02-14T00:00:00"/>
    <x v="0"/>
    <x v="7"/>
    <n v="4891"/>
    <n v="450"/>
    <n v="387"/>
    <n v="48746"/>
    <n v="37312"/>
    <n v="154"/>
    <x v="0"/>
    <x v="0"/>
    <s v="ChillVibes"/>
    <s v="Before"/>
    <n v="9.6933392025468201"/>
    <n v="7.2610033024808338"/>
    <n v="6.2610033024808338"/>
    <n v="12.066631108193492"/>
  </r>
  <r>
    <x v="43"/>
    <x v="0"/>
    <d v="2024-09-06T00:00:00"/>
    <x v="0"/>
    <x v="2"/>
    <n v="1452"/>
    <n v="281"/>
    <n v="326"/>
    <n v="51556"/>
    <n v="62599"/>
    <n v="290"/>
    <x v="1"/>
    <x v="1"/>
    <s v="IndieWave"/>
    <s v="Before"/>
    <n v="9.6834504862732942"/>
    <n v="10.975098307451477"/>
    <n v="9.9750983074514767"/>
    <n v="4.5562107223213593"/>
  </r>
  <r>
    <x v="44"/>
    <x v="2"/>
    <d v="2024-07-14T00:00:00"/>
    <x v="0"/>
    <x v="9"/>
    <n v="3806"/>
    <n v="114"/>
    <n v="278"/>
    <n v="36148"/>
    <n v="24209"/>
    <n v="201"/>
    <x v="1"/>
    <x v="2"/>
    <s v="IndieWave"/>
    <s v="During"/>
    <n v="9.7049033723149343"/>
    <n v="8.605723146211254"/>
    <n v="7.605723146211254"/>
    <n v="12.169414628748479"/>
  </r>
  <r>
    <x v="45"/>
    <x v="0"/>
    <d v="2024-02-12T00:00:00"/>
    <x v="0"/>
    <x v="1"/>
    <n v="2923"/>
    <n v="330"/>
    <n v="250"/>
    <n v="23993"/>
    <n v="74590"/>
    <n v="92"/>
    <x v="1"/>
    <x v="1"/>
    <s v="IndieWave"/>
    <s v="Before"/>
    <n v="9.7049033723149343"/>
    <n v="9.9968024322615516"/>
    <n v="8.9968024322615516"/>
    <n v="14.983536864918934"/>
  </r>
  <r>
    <x v="46"/>
    <x v="2"/>
    <d v="2024-03-14T00:00:00"/>
    <x v="2"/>
    <x v="8"/>
    <n v="3361"/>
    <n v="188"/>
    <n v="358"/>
    <n v="39838"/>
    <n v="24536"/>
    <n v="120"/>
    <x v="1"/>
    <x v="4"/>
    <s v="SummerBeats"/>
    <s v="Before"/>
    <n v="9.6827242399930675"/>
    <n v="8.6447664320313411"/>
    <n v="7.6447664320313411"/>
    <n v="10.108439178673628"/>
  </r>
  <r>
    <x v="47"/>
    <x v="0"/>
    <d v="2025-02-05T00:00:00"/>
    <x v="1"/>
    <x v="4"/>
    <n v="3074"/>
    <n v="371"/>
    <n v="348"/>
    <n v="24104"/>
    <n v="57803"/>
    <n v="213"/>
    <x v="3"/>
    <x v="1"/>
    <s v="Wrapped2024"/>
    <s v="Before"/>
    <n v="9.6809279744290144"/>
    <n v="10.063321248219852"/>
    <n v="9.063321248219852"/>
    <n v="16.619648191171592"/>
  </r>
  <r>
    <x v="48"/>
    <x v="1"/>
    <d v="2024-08-29T00:00:00"/>
    <x v="1"/>
    <x v="6"/>
    <n v="4276"/>
    <n v="227"/>
    <n v="223"/>
    <n v="43443"/>
    <n v="41005"/>
    <n v="191"/>
    <x v="1"/>
    <x v="3"/>
    <s v="ChillVibes"/>
    <s v="Before"/>
    <n v="9.6515266175784102"/>
    <n v="12.324732105975821"/>
    <n v="11.324732105975821"/>
    <n v="11.318279124369864"/>
  </r>
  <r>
    <x v="49"/>
    <x v="1"/>
    <d v="2025-04-22T00:00:00"/>
    <x v="0"/>
    <x v="0"/>
    <n v="4401"/>
    <n v="421"/>
    <n v="216"/>
    <n v="24890"/>
    <n v="54361"/>
    <n v="148"/>
    <x v="3"/>
    <x v="1"/>
    <s v="ChillVibes"/>
    <s v="Before"/>
    <n v="9.6444340537197242"/>
    <n v="10.288902817101054"/>
    <n v="9.2889028171010537"/>
    <n v="20.835676978706307"/>
  </r>
  <r>
    <x v="50"/>
    <x v="2"/>
    <d v="2024-05-13T00:00:00"/>
    <x v="2"/>
    <x v="1"/>
    <n v="4161"/>
    <n v="481"/>
    <n v="61"/>
    <n v="45884"/>
    <n v="48955"/>
    <n v="215"/>
    <x v="1"/>
    <x v="4"/>
    <s v="SummerBeats"/>
    <s v="Before"/>
    <n v="9.5966082292539703"/>
    <n v="9.4481060042849556"/>
    <n v="8.4481060042849556"/>
    <n v="10.718333188039404"/>
  </r>
  <r>
    <x v="51"/>
    <x v="1"/>
    <d v="2024-09-04T00:00:00"/>
    <x v="1"/>
    <x v="2"/>
    <n v="2613"/>
    <n v="455"/>
    <n v="228"/>
    <n v="21645"/>
    <n v="61334"/>
    <n v="261"/>
    <x v="1"/>
    <x v="3"/>
    <s v="ChillVibes"/>
    <s v="Before"/>
    <n v="9.5917939590445904"/>
    <n v="10.596198065722673"/>
    <n v="9.5961980657226729"/>
    <n v="16.433356433356433"/>
  </r>
  <r>
    <x v="52"/>
    <x v="1"/>
    <d v="2024-08-12T00:00:00"/>
    <x v="1"/>
    <x v="5"/>
    <n v="2842"/>
    <n v="213"/>
    <n v="331"/>
    <n v="57660"/>
    <n v="68606"/>
    <n v="87"/>
    <x v="2"/>
    <x v="0"/>
    <s v="ChillVibes"/>
    <s v="Before"/>
    <n v="9.5623044656208318"/>
    <n v="9.1110510827187738"/>
    <n v="8.1110510827187738"/>
    <n v="6.023239680887964"/>
  </r>
  <r>
    <x v="53"/>
    <x v="0"/>
    <d v="2025-03-06T00:00:00"/>
    <x v="0"/>
    <x v="6"/>
    <n v="4851"/>
    <n v="460"/>
    <n v="212"/>
    <n v="58075"/>
    <n v="59574"/>
    <n v="239"/>
    <x v="1"/>
    <x v="1"/>
    <s v="IndieWave"/>
    <s v="Before"/>
    <n v="9.5776250923945661"/>
    <n v="9.2993995859922407"/>
    <n v="8.2993995859922407"/>
    <n v="9.9216530348687044"/>
  </r>
  <r>
    <x v="54"/>
    <x v="1"/>
    <d v="2024-05-08T00:00:00"/>
    <x v="0"/>
    <x v="1"/>
    <n v="1828"/>
    <n v="450"/>
    <n v="214"/>
    <n v="52115"/>
    <n v="19166"/>
    <n v="190"/>
    <x v="3"/>
    <x v="1"/>
    <s v="ChillVibes"/>
    <s v="Before"/>
    <n v="9.5761293187316365"/>
    <n v="5.7783139429012076"/>
    <n v="4.7783139429012076"/>
    <n v="5.1463110428859249"/>
  </r>
  <r>
    <x v="55"/>
    <x v="0"/>
    <d v="2025-02-19T00:00:00"/>
    <x v="1"/>
    <x v="8"/>
    <n v="2422"/>
    <n v="455"/>
    <n v="376"/>
    <n v="23428"/>
    <n v="46775"/>
    <n v="259"/>
    <x v="3"/>
    <x v="1"/>
    <s v="Wrapped2024"/>
    <s v="Before"/>
    <n v="9.5954735033423155"/>
    <n v="8.2844099664501289"/>
    <n v="7.2844099664501289"/>
    <n v="14.990609527061634"/>
  </r>
  <r>
    <x v="56"/>
    <x v="0"/>
    <d v="2024-01-08T00:00:00"/>
    <x v="0"/>
    <x v="7"/>
    <n v="2683"/>
    <n v="405"/>
    <n v="223"/>
    <n v="31233"/>
    <n v="58106"/>
    <n v="291"/>
    <x v="1"/>
    <x v="1"/>
    <s v="IndieWave"/>
    <s v="Before"/>
    <n v="9.5718106260453002"/>
    <n v="10.542822569671314"/>
    <n v="9.5428225696713138"/>
    <n v="11.532673774533347"/>
  </r>
  <r>
    <x v="57"/>
    <x v="2"/>
    <d v="2024-07-17T00:00:00"/>
    <x v="0"/>
    <x v="7"/>
    <n v="3135"/>
    <n v="110"/>
    <n v="215"/>
    <n v="39192"/>
    <n v="24744"/>
    <n v="177"/>
    <x v="1"/>
    <x v="2"/>
    <s v="IndieWave"/>
    <s v="Before"/>
    <n v="9.5631724623955741"/>
    <n v="8.9695682467204882"/>
    <n v="7.9695682467204882"/>
    <n v="9.2799550928760972"/>
  </r>
  <r>
    <x v="58"/>
    <x v="2"/>
    <d v="2024-08-10T00:00:00"/>
    <x v="0"/>
    <x v="8"/>
    <n v="1105"/>
    <n v="181"/>
    <n v="55"/>
    <n v="53581"/>
    <n v="74048"/>
    <n v="220"/>
    <x v="1"/>
    <x v="2"/>
    <s v="IndieWave"/>
    <s v="Before"/>
    <n v="9.564425636596992"/>
    <n v="10.540904808747925"/>
    <n v="9.5409048087479249"/>
    <n v="2.913346148821411"/>
  </r>
  <r>
    <x v="59"/>
    <x v="2"/>
    <d v="2024-04-16T00:00:00"/>
    <x v="0"/>
    <x v="0"/>
    <n v="4674"/>
    <n v="326"/>
    <n v="62"/>
    <n v="45503"/>
    <n v="46814"/>
    <n v="116"/>
    <x v="1"/>
    <x v="2"/>
    <s v="IndieWave"/>
    <s v="Before"/>
    <n v="9.5939859898759945"/>
    <n v="9.074930486655111"/>
    <n v="8.074930486655111"/>
    <n v="11.379469485528427"/>
  </r>
  <r>
    <x v="60"/>
    <x v="2"/>
    <d v="2024-01-01T00:00:00"/>
    <x v="2"/>
    <x v="1"/>
    <n v="3437"/>
    <n v="129"/>
    <n v="359"/>
    <n v="44558"/>
    <n v="30854"/>
    <n v="171"/>
    <x v="1"/>
    <x v="4"/>
    <s v="SummerBeats"/>
    <s v="Before"/>
    <n v="9.5860150814132599"/>
    <n v="10.948858552669124"/>
    <n v="9.9488585526691242"/>
    <n v="9.19251312895552"/>
  </r>
  <r>
    <x v="61"/>
    <x v="1"/>
    <d v="2024-11-03T00:00:00"/>
    <x v="1"/>
    <x v="3"/>
    <n v="1959"/>
    <n v="316"/>
    <n v="82"/>
    <n v="54036"/>
    <n v="69015"/>
    <n v="182"/>
    <x v="2"/>
    <x v="0"/>
    <s v="ChillVibes"/>
    <s v="Before"/>
    <n v="9.5877796641597062"/>
    <n v="11.332087903819273"/>
    <n v="10.332087903819273"/>
    <n v="4.6987193722703378"/>
  </r>
  <r>
    <x v="62"/>
    <x v="1"/>
    <d v="2024-07-07T00:00:00"/>
    <x v="0"/>
    <x v="2"/>
    <n v="1035"/>
    <n v="137"/>
    <n v="184"/>
    <n v="37302"/>
    <n v="68953"/>
    <n v="237"/>
    <x v="0"/>
    <x v="1"/>
    <s v="IndieWave"/>
    <s v="During"/>
    <n v="9.6098024582673176"/>
    <n v="9.8751529235797619"/>
    <n v="8.8751529235797619"/>
    <n v="4.2705484960591926"/>
  </r>
  <r>
    <x v="63"/>
    <x v="1"/>
    <d v="2025-01-22T00:00:00"/>
    <x v="1"/>
    <x v="2"/>
    <n v="4478"/>
    <n v="101"/>
    <n v="121"/>
    <n v="51035"/>
    <n v="58207"/>
    <n v="205"/>
    <x v="2"/>
    <x v="0"/>
    <s v="ChillVibes"/>
    <s v="Before"/>
    <n v="9.6098024582673176"/>
    <n v="11.367115518965306"/>
    <n v="10.367115518965306"/>
    <n v="9.6110512393455476"/>
  </r>
  <r>
    <x v="64"/>
    <x v="2"/>
    <d v="2024-05-26T00:00:00"/>
    <x v="0"/>
    <x v="8"/>
    <n v="1488"/>
    <n v="327"/>
    <n v="110"/>
    <n v="53805"/>
    <n v="30239"/>
    <n v="109"/>
    <x v="1"/>
    <x v="2"/>
    <s v="IndieWave"/>
    <s v="Before"/>
    <n v="9.6097968076742024"/>
    <n v="11.818731102727403"/>
    <n v="10.818731102727403"/>
    <n v="3.7803178143295231"/>
  </r>
  <r>
    <x v="65"/>
    <x v="0"/>
    <d v="2025-04-16T00:00:00"/>
    <x v="0"/>
    <x v="3"/>
    <n v="4836"/>
    <n v="331"/>
    <n v="140"/>
    <n v="58792"/>
    <n v="47711"/>
    <n v="227"/>
    <x v="0"/>
    <x v="0"/>
    <s v="ChillVibes"/>
    <s v="Before"/>
    <n v="9.6362944394621337"/>
    <n v="9.1862292306488254"/>
    <n v="8.1862292306488254"/>
    <n v="9.4128452850727982"/>
  </r>
  <r>
    <x v="66"/>
    <x v="2"/>
    <d v="2024-04-02T00:00:00"/>
    <x v="2"/>
    <x v="9"/>
    <n v="4563"/>
    <n v="488"/>
    <n v="356"/>
    <n v="30619"/>
    <n v="23328"/>
    <n v="267"/>
    <x v="1"/>
    <x v="4"/>
    <s v="SummerBeats"/>
    <s v="Before"/>
    <n v="9.6373147552355984"/>
    <n v="10.787360120953771"/>
    <n v="9.7873601209537711"/>
    <n v="18.53097749763219"/>
  </r>
  <r>
    <x v="67"/>
    <x v="1"/>
    <d v="2024-03-28T00:00:00"/>
    <x v="0"/>
    <x v="4"/>
    <n v="3276"/>
    <n v="421"/>
    <n v="114"/>
    <n v="20580"/>
    <n v="30324"/>
    <n v="221"/>
    <x v="0"/>
    <x v="1"/>
    <s v="IndieWave"/>
    <s v="Before"/>
    <n v="9.5965181371512109"/>
    <n v="8.4537961143302756"/>
    <n v="7.4537961143302756"/>
    <n v="19.591836734693878"/>
  </r>
  <r>
    <x v="68"/>
    <x v="1"/>
    <d v="2024-12-17T00:00:00"/>
    <x v="1"/>
    <x v="4"/>
    <n v="1316"/>
    <n v="472"/>
    <n v="286"/>
    <n v="44692"/>
    <n v="53343"/>
    <n v="227"/>
    <x v="1"/>
    <x v="3"/>
    <s v="ChillVibes"/>
    <s v="Before"/>
    <n v="9.5504567611256697"/>
    <n v="8.5330704417354593"/>
    <n v="7.5330704417354593"/>
    <n v="5.1485724514454487"/>
  </r>
  <r>
    <x v="69"/>
    <x v="1"/>
    <d v="2025-01-05T00:00:00"/>
    <x v="0"/>
    <x v="3"/>
    <n v="4811"/>
    <n v="473"/>
    <n v="254"/>
    <n v="51964"/>
    <n v="68795"/>
    <n v="107"/>
    <x v="3"/>
    <x v="1"/>
    <s v="ChillVibes"/>
    <s v="Before"/>
    <n v="9.5708358551519677"/>
    <n v="9.1886421182094775"/>
    <n v="8.1886421182094775"/>
    <n v="10.863289969979215"/>
  </r>
  <r>
    <x v="70"/>
    <x v="1"/>
    <d v="2024-01-11T00:00:00"/>
    <x v="0"/>
    <x v="5"/>
    <n v="4218"/>
    <n v="247"/>
    <n v="183"/>
    <n v="28914"/>
    <n v="18310"/>
    <n v="135"/>
    <x v="0"/>
    <x v="1"/>
    <s v="IndieWave"/>
    <s v="Before"/>
    <n v="9.564824440664399"/>
    <n v="10.927439745789803"/>
    <n v="9.9274397457898029"/>
    <n v="16.542159507505012"/>
  </r>
  <r>
    <x v="71"/>
    <x v="0"/>
    <d v="2024-10-11T00:00:00"/>
    <x v="0"/>
    <x v="8"/>
    <n v="1360"/>
    <n v="249"/>
    <n v="52"/>
    <n v="20368"/>
    <n v="42152"/>
    <n v="193"/>
    <x v="1"/>
    <x v="1"/>
    <s v="IndieWave"/>
    <s v="Before"/>
    <n v="9.5322200711931817"/>
    <n v="8.0555957508380942"/>
    <n v="7.0555957508380942"/>
    <n v="9.1025137470542035"/>
  </r>
  <r>
    <x v="72"/>
    <x v="2"/>
    <d v="2025-05-06T00:00:00"/>
    <x v="2"/>
    <x v="0"/>
    <n v="1085"/>
    <n v="496"/>
    <n v="320"/>
    <n v="36528"/>
    <n v="38599"/>
    <n v="270"/>
    <x v="1"/>
    <x v="4"/>
    <s v="SummerBeats"/>
    <s v="Before"/>
    <n v="9.5342374717759935"/>
    <n v="9.5800335059587294"/>
    <n v="8.5800335059587294"/>
    <n v="5.9433858957512049"/>
  </r>
  <r>
    <x v="73"/>
    <x v="1"/>
    <d v="2024-05-19T00:00:00"/>
    <x v="1"/>
    <x v="6"/>
    <n v="1763"/>
    <n v="206"/>
    <n v="187"/>
    <n v="53342"/>
    <n v="25095"/>
    <n v="88"/>
    <x v="1"/>
    <x v="3"/>
    <s v="ChillVibes"/>
    <s v="Before"/>
    <n v="9.5511754509081843"/>
    <n v="10.140830141231381"/>
    <n v="9.1408301412313815"/>
    <n v="4.2068163923362452"/>
  </r>
  <r>
    <x v="74"/>
    <x v="1"/>
    <d v="2024-01-22T00:00:00"/>
    <x v="1"/>
    <x v="8"/>
    <n v="1554"/>
    <n v="455"/>
    <n v="158"/>
    <n v="41947"/>
    <n v="48578"/>
    <n v="101"/>
    <x v="0"/>
    <x v="0"/>
    <s v="ChillVibes"/>
    <s v="Before"/>
    <n v="9.5765041668255861"/>
    <n v="9.6928494068584303"/>
    <n v="8.6928494068584303"/>
    <n v="5.4068228955586815"/>
  </r>
  <r>
    <x v="75"/>
    <x v="0"/>
    <d v="2024-07-14T00:00:00"/>
    <x v="0"/>
    <x v="3"/>
    <n v="2464"/>
    <n v="401"/>
    <n v="78"/>
    <n v="38665"/>
    <n v="73593"/>
    <n v="207"/>
    <x v="1"/>
    <x v="1"/>
    <s v="IndieWave"/>
    <s v="During"/>
    <n v="9.596359791926858"/>
    <n v="8.3509603307042806"/>
    <n v="7.3509603307042806"/>
    <n v="8.1469028837449891"/>
  </r>
  <r>
    <x v="76"/>
    <x v="1"/>
    <d v="2025-05-28T00:00:00"/>
    <x v="0"/>
    <x v="8"/>
    <n v="2418"/>
    <n v="161"/>
    <n v="360"/>
    <n v="30589"/>
    <n v="41383"/>
    <n v="88"/>
    <x v="3"/>
    <x v="1"/>
    <s v="ChillVibes"/>
    <s v="Before"/>
    <n v="9.596359791926858"/>
    <n v="11.571568436548029"/>
    <n v="10.571568436548029"/>
    <n v="9.8957141456078972"/>
  </r>
  <r>
    <x v="77"/>
    <x v="1"/>
    <d v="2025-01-21T00:00:00"/>
    <x v="1"/>
    <x v="0"/>
    <n v="2494"/>
    <n v="494"/>
    <n v="55"/>
    <n v="22580"/>
    <n v="22214"/>
    <n v="109"/>
    <x v="2"/>
    <x v="0"/>
    <s v="ChillVibes"/>
    <s v="Before"/>
    <n v="9.5949274744451305"/>
    <n v="8.5019582473444633"/>
    <n v="7.5019582473444633"/>
    <n v="13.959255978742249"/>
  </r>
  <r>
    <x v="78"/>
    <x v="2"/>
    <d v="2024-01-13T00:00:00"/>
    <x v="2"/>
    <x v="2"/>
    <n v="4781"/>
    <n v="191"/>
    <n v="122"/>
    <n v="35535"/>
    <n v="50777"/>
    <n v="128"/>
    <x v="1"/>
    <x v="4"/>
    <s v="SummerBeats"/>
    <s v="Before"/>
    <n v="9.5739451258667803"/>
    <n v="9.8657675667032585"/>
    <n v="8.8657675667032585"/>
    <n v="14.695370761221332"/>
  </r>
  <r>
    <x v="79"/>
    <x v="0"/>
    <d v="2025-06-17T00:00:00"/>
    <x v="0"/>
    <x v="4"/>
    <n v="2284"/>
    <n v="187"/>
    <n v="260"/>
    <n v="37400"/>
    <n v="65014"/>
    <n v="157"/>
    <x v="0"/>
    <x v="0"/>
    <s v="ChillVibes"/>
    <s v="Before"/>
    <n v="9.5492039392225543"/>
    <n v="8.9450223128406865"/>
    <n v="7.9450223128406865"/>
    <n v="7.7219251336898402"/>
  </r>
  <r>
    <x v="80"/>
    <x v="1"/>
    <d v="2025-03-07T00:00:00"/>
    <x v="0"/>
    <x v="6"/>
    <n v="4234"/>
    <n v="486"/>
    <n v="276"/>
    <n v="56623"/>
    <n v="41343"/>
    <n v="184"/>
    <x v="0"/>
    <x v="1"/>
    <s v="IndieWave"/>
    <s v="Before"/>
    <n v="9.5580742246863064"/>
    <n v="9.3290532274474476"/>
    <n v="8.3290532274474476"/>
    <n v="9.1482259859067874"/>
  </r>
  <r>
    <x v="81"/>
    <x v="0"/>
    <d v="2024-08-26T00:00:00"/>
    <x v="0"/>
    <x v="9"/>
    <n v="2102"/>
    <n v="181"/>
    <n v="306"/>
    <n v="43650"/>
    <n v="50079"/>
    <n v="182"/>
    <x v="1"/>
    <x v="1"/>
    <s v="IndieWave"/>
    <s v="Before"/>
    <n v="9.5600734843876705"/>
    <n v="10.144792546721677"/>
    <n v="9.1447925467216766"/>
    <n v="6.3482245131729664"/>
  </r>
  <r>
    <x v="82"/>
    <x v="1"/>
    <d v="2025-01-03T00:00:00"/>
    <x v="1"/>
    <x v="6"/>
    <n v="4845"/>
    <n v="158"/>
    <n v="84"/>
    <n v="34578"/>
    <n v="51480"/>
    <n v="180"/>
    <x v="0"/>
    <x v="0"/>
    <s v="ChillVibes"/>
    <s v="Before"/>
    <n v="9.5758178420897018"/>
    <n v="9.6837997000356477"/>
    <n v="8.6837997000356477"/>
    <n v="15.232228584649199"/>
  </r>
  <r>
    <x v="83"/>
    <x v="1"/>
    <d v="2024-08-03T00:00:00"/>
    <x v="0"/>
    <x v="9"/>
    <n v="4247"/>
    <n v="390"/>
    <n v="213"/>
    <n v="29785"/>
    <n v="57768"/>
    <n v="122"/>
    <x v="3"/>
    <x v="1"/>
    <s v="ChillVibes"/>
    <s v="Before"/>
    <n v="9.5479537497618239"/>
    <n v="8.6408960544725932"/>
    <n v="7.6408960544725932"/>
    <n v="16.692966258183649"/>
  </r>
  <r>
    <x v="84"/>
    <x v="0"/>
    <d v="2024-08-18T00:00:00"/>
    <x v="0"/>
    <x v="1"/>
    <n v="2965"/>
    <n v="328"/>
    <n v="171"/>
    <n v="57685"/>
    <n v="67536"/>
    <n v="264"/>
    <x v="0"/>
    <x v="0"/>
    <s v="ChillVibes"/>
    <s v="Before"/>
    <n v="9.5125824007102295"/>
    <n v="7.904777021301256"/>
    <n v="6.904777021301256"/>
    <n v="6.4626852734679732"/>
  </r>
  <r>
    <x v="85"/>
    <x v="1"/>
    <d v="2025-05-14T00:00:00"/>
    <x v="1"/>
    <x v="3"/>
    <n v="1371"/>
    <n v="139"/>
    <n v="96"/>
    <n v="36140"/>
    <n v="39395"/>
    <n v="169"/>
    <x v="0"/>
    <x v="0"/>
    <s v="ChillVibes"/>
    <s v="Before"/>
    <n v="9.5277560182586978"/>
    <n v="9.3505386328157822"/>
    <n v="8.3505386328157822"/>
    <n v="4.9114554510237962"/>
  </r>
  <r>
    <x v="86"/>
    <x v="1"/>
    <d v="2024-04-23T00:00:00"/>
    <x v="1"/>
    <x v="0"/>
    <n v="2683"/>
    <n v="496"/>
    <n v="89"/>
    <n v="53435"/>
    <n v="30334"/>
    <n v="160"/>
    <x v="0"/>
    <x v="0"/>
    <s v="ChillVibes"/>
    <s v="Before"/>
    <n v="9.5508375210948717"/>
    <n v="8.8478492931793937"/>
    <n v="7.8478492931793937"/>
    <n v="6.4152708898661928"/>
  </r>
  <r>
    <x v="87"/>
    <x v="1"/>
    <d v="2025-02-17T00:00:00"/>
    <x v="1"/>
    <x v="5"/>
    <n v="4796"/>
    <n v="427"/>
    <n v="339"/>
    <n v="30752"/>
    <n v="33870"/>
    <n v="298"/>
    <x v="0"/>
    <x v="0"/>
    <s v="ChillVibes"/>
    <s v="Before"/>
    <n v="9.5665941373322045"/>
    <n v="10.34335651795921"/>
    <n v="9.3433565179592097"/>
    <n v="19.055671175858478"/>
  </r>
  <r>
    <x v="88"/>
    <x v="0"/>
    <d v="2024-12-04T00:00:00"/>
    <x v="0"/>
    <x v="3"/>
    <n v="2601"/>
    <n v="336"/>
    <n v="260"/>
    <n v="32368"/>
    <n v="49028"/>
    <n v="120"/>
    <x v="0"/>
    <x v="0"/>
    <s v="ChillVibes"/>
    <s v="Before"/>
    <n v="9.5186695058244961"/>
    <n v="6.7214114917181087"/>
    <n v="5.7214114917181087"/>
    <n v="10.247775580820564"/>
  </r>
  <r>
    <x v="89"/>
    <x v="1"/>
    <d v="2024-07-22T00:00:00"/>
    <x v="1"/>
    <x v="3"/>
    <n v="3336"/>
    <n v="229"/>
    <n v="337"/>
    <n v="22117"/>
    <n v="26205"/>
    <n v="160"/>
    <x v="2"/>
    <x v="0"/>
    <s v="ChillVibes"/>
    <s v="Before"/>
    <n v="9.5149684597585278"/>
    <n v="10.809741236761907"/>
    <n v="9.8097412367619068"/>
    <n v="18.365962834019083"/>
  </r>
  <r>
    <x v="90"/>
    <x v="1"/>
    <d v="2025-04-27T00:00:00"/>
    <x v="0"/>
    <x v="1"/>
    <n v="1165"/>
    <n v="294"/>
    <n v="163"/>
    <n v="20659"/>
    <n v="45926"/>
    <n v="111"/>
    <x v="0"/>
    <x v="1"/>
    <s v="IndieWave"/>
    <s v="Before"/>
    <n v="9.469810325195974"/>
    <n v="9.8298422258921434"/>
    <n v="8.8298422258921434"/>
    <n v="8.3885957693983251"/>
  </r>
  <r>
    <x v="91"/>
    <x v="2"/>
    <d v="2024-03-25T00:00:00"/>
    <x v="2"/>
    <x v="1"/>
    <n v="1948"/>
    <n v="155"/>
    <n v="315"/>
    <n v="30321"/>
    <n v="57121"/>
    <n v="82"/>
    <x v="1"/>
    <x v="4"/>
    <s v="SummerBeats"/>
    <s v="Before"/>
    <n v="9.4753550152257056"/>
    <n v="12.976462956142347"/>
    <n v="11.976462956142347"/>
    <n v="8.245110649384916"/>
  </r>
  <r>
    <x v="92"/>
    <x v="0"/>
    <d v="2024-02-29T00:00:00"/>
    <x v="0"/>
    <x v="8"/>
    <n v="1100"/>
    <n v="229"/>
    <n v="312"/>
    <n v="25641"/>
    <n v="34601"/>
    <n v="169"/>
    <x v="1"/>
    <x v="1"/>
    <s v="IndieWave"/>
    <s v="Before"/>
    <n v="9.4816964810290081"/>
    <n v="9.7218661041250893"/>
    <n v="8.7218661041250893"/>
    <n v="7.059007059007059"/>
  </r>
  <r>
    <x v="93"/>
    <x v="1"/>
    <d v="2024-11-13T00:00:00"/>
    <x v="1"/>
    <x v="7"/>
    <n v="4628"/>
    <n v="257"/>
    <n v="397"/>
    <n v="36686"/>
    <n v="54683"/>
    <n v="98"/>
    <x v="0"/>
    <x v="0"/>
    <s v="ChillVibes"/>
    <s v="Before"/>
    <n v="9.4942492759617636"/>
    <n v="8.8672313804064551"/>
    <n v="7.8672313804064551"/>
    <n v="14.664994820912611"/>
  </r>
  <r>
    <x v="94"/>
    <x v="0"/>
    <d v="2024-03-22T00:00:00"/>
    <x v="1"/>
    <x v="0"/>
    <n v="2319"/>
    <n v="484"/>
    <n v="193"/>
    <n v="21202"/>
    <n v="18091"/>
    <n v="241"/>
    <x v="3"/>
    <x v="1"/>
    <s v="Wrapped2024"/>
    <s v="Before"/>
    <n v="9.4673183095818114"/>
    <n v="10.01483346967056"/>
    <n v="9.0148334696705597"/>
    <n v="15.2674276011697"/>
  </r>
  <r>
    <x v="95"/>
    <x v="1"/>
    <d v="2024-03-16T00:00:00"/>
    <x v="1"/>
    <x v="3"/>
    <n v="2895"/>
    <n v="292"/>
    <n v="90"/>
    <n v="24223"/>
    <n v="54626"/>
    <n v="114"/>
    <x v="0"/>
    <x v="0"/>
    <s v="ChillVibes"/>
    <s v="Before"/>
    <n v="9.4369512452279469"/>
    <n v="10.529746149414544"/>
    <n v="9.5297461494145441"/>
    <n v="13.99909177228254"/>
  </r>
  <r>
    <x v="96"/>
    <x v="0"/>
    <d v="2024-01-26T00:00:00"/>
    <x v="0"/>
    <x v="5"/>
    <n v="3878"/>
    <n v="431"/>
    <n v="97"/>
    <n v="41763"/>
    <n v="29729"/>
    <n v="191"/>
    <x v="1"/>
    <x v="1"/>
    <s v="IndieWave"/>
    <s v="Before"/>
    <n v="9.4129399792960804"/>
    <n v="9.9481094633114981"/>
    <n v="8.9481094633114981"/>
    <n v="11.007351004477647"/>
  </r>
  <r>
    <x v="97"/>
    <x v="1"/>
    <d v="2024-03-15T00:00:00"/>
    <x v="1"/>
    <x v="6"/>
    <n v="4969"/>
    <n v="433"/>
    <n v="237"/>
    <n v="59552"/>
    <n v="23885"/>
    <n v="157"/>
    <x v="1"/>
    <x v="3"/>
    <s v="ChillVibes"/>
    <s v="Before"/>
    <n v="9.4045039421258068"/>
    <n v="8.6646187698782757"/>
    <n v="7.6646187698782757"/>
    <n v="9.732670607200431"/>
  </r>
  <r>
    <x v="98"/>
    <x v="1"/>
    <d v="2024-10-15T00:00:00"/>
    <x v="0"/>
    <x v="3"/>
    <n v="1984"/>
    <n v="481"/>
    <n v="356"/>
    <n v="40681"/>
    <n v="63111"/>
    <n v="258"/>
    <x v="3"/>
    <x v="1"/>
    <s v="ChillVibes"/>
    <s v="Before"/>
    <n v="9.40275837475839"/>
    <n v="7.3965727156648198"/>
    <n v="6.3965727156648198"/>
    <n v="7.5686438386470334"/>
  </r>
  <r>
    <x v="99"/>
    <x v="0"/>
    <d v="2024-07-21T00:00:00"/>
    <x v="0"/>
    <x v="0"/>
    <n v="3004"/>
    <n v="415"/>
    <n v="218"/>
    <n v="36090"/>
    <n v="37073"/>
    <n v="181"/>
    <x v="1"/>
    <x v="1"/>
    <s v="IndieWave"/>
    <s v="Before"/>
    <n v="9.4125664738819808"/>
    <n v="7.7500945442794551"/>
    <n v="6.7500945442794551"/>
    <n v="10.579107786090331"/>
  </r>
  <r>
    <x v="100"/>
    <x v="1"/>
    <d v="2024-10-12T00:00:00"/>
    <x v="0"/>
    <x v="6"/>
    <n v="3169"/>
    <n v="386"/>
    <n v="175"/>
    <n v="45012"/>
    <n v="38508"/>
    <n v="218"/>
    <x v="3"/>
    <x v="1"/>
    <s v="ChillVibes"/>
    <s v="Before"/>
    <n v="9.4062947463969895"/>
    <n v="8.3470859659123686"/>
    <n v="7.3470859659123686"/>
    <n v="8.7709944014929349"/>
  </r>
  <r>
    <x v="101"/>
    <x v="1"/>
    <d v="2024-10-26T00:00:00"/>
    <x v="0"/>
    <x v="0"/>
    <n v="3036"/>
    <n v="293"/>
    <n v="115"/>
    <n v="23776"/>
    <n v="46386"/>
    <n v="282"/>
    <x v="3"/>
    <x v="1"/>
    <s v="ChillVibes"/>
    <s v="Before"/>
    <n v="9.4097288023153869"/>
    <n v="8.0042466539501529"/>
    <n v="7.0042466539501529"/>
    <n v="15.671265141318976"/>
  </r>
  <r>
    <x v="102"/>
    <x v="0"/>
    <d v="2024-02-14T00:00:00"/>
    <x v="0"/>
    <x v="4"/>
    <n v="1830"/>
    <n v="112"/>
    <n v="181"/>
    <n v="31870"/>
    <n v="55742"/>
    <n v="263"/>
    <x v="0"/>
    <x v="0"/>
    <s v="ChillVibes"/>
    <s v="Before"/>
    <n v="9.3756987135164565"/>
    <n v="8.4598104435419863"/>
    <n v="7.4598104435419863"/>
    <n v="7.4866645748352685"/>
  </r>
  <r>
    <x v="103"/>
    <x v="1"/>
    <d v="2024-05-01T00:00:00"/>
    <x v="1"/>
    <x v="5"/>
    <n v="2587"/>
    <n v="447"/>
    <n v="183"/>
    <n v="36266"/>
    <n v="32877"/>
    <n v="132"/>
    <x v="1"/>
    <x v="3"/>
    <s v="ChillVibes"/>
    <s v="Before"/>
    <n v="9.3860213044382128"/>
    <n v="11.581711711027326"/>
    <n v="10.581711711027326"/>
    <n v="9.234544752660895"/>
  </r>
  <r>
    <x v="104"/>
    <x v="1"/>
    <d v="2024-09-18T00:00:00"/>
    <x v="0"/>
    <x v="0"/>
    <n v="2878"/>
    <n v="265"/>
    <n v="91"/>
    <n v="52090"/>
    <n v="28924"/>
    <n v="133"/>
    <x v="3"/>
    <x v="1"/>
    <s v="ChillVibes"/>
    <s v="Before"/>
    <n v="9.3868535931842416"/>
    <n v="10.909763042528121"/>
    <n v="9.9097630425281213"/>
    <n v="6.4638126319831066"/>
  </r>
  <r>
    <x v="105"/>
    <x v="1"/>
    <d v="2025-01-20T00:00:00"/>
    <x v="1"/>
    <x v="2"/>
    <n v="4619"/>
    <n v="272"/>
    <n v="57"/>
    <n v="21334"/>
    <n v="46292"/>
    <n v="91"/>
    <x v="0"/>
    <x v="0"/>
    <s v="ChillVibes"/>
    <s v="Before"/>
    <n v="9.4030029907599371"/>
    <n v="10.20508104207099"/>
    <n v="9.2050810420709901"/>
    <n v="23.619574388300364"/>
  </r>
  <r>
    <x v="106"/>
    <x v="1"/>
    <d v="2025-01-13T00:00:00"/>
    <x v="0"/>
    <x v="4"/>
    <n v="4090"/>
    <n v="209"/>
    <n v="278"/>
    <n v="52853"/>
    <n v="57084"/>
    <n v="102"/>
    <x v="0"/>
    <x v="1"/>
    <s v="IndieWave"/>
    <s v="Before"/>
    <n v="9.3240220385513819"/>
    <n v="9.8524253490081097"/>
    <n v="8.8524253490081097"/>
    <n v="8.8528560346621763"/>
  </r>
  <r>
    <x v="107"/>
    <x v="2"/>
    <d v="2024-09-07T00:00:00"/>
    <x v="2"/>
    <x v="4"/>
    <n v="3882"/>
    <n v="342"/>
    <n v="374"/>
    <n v="41991"/>
    <n v="48554"/>
    <n v="118"/>
    <x v="1"/>
    <x v="4"/>
    <s v="SummerBeats"/>
    <s v="Before"/>
    <n v="9.3266542508636121"/>
    <n v="10.368221662699339"/>
    <n v="9.3682216626993391"/>
    <n v="11.230978066728586"/>
  </r>
  <r>
    <x v="108"/>
    <x v="0"/>
    <d v="2024-11-21T00:00:00"/>
    <x v="0"/>
    <x v="4"/>
    <n v="4581"/>
    <n v="181"/>
    <n v="112"/>
    <n v="35221"/>
    <n v="28797"/>
    <n v="164"/>
    <x v="0"/>
    <x v="0"/>
    <s v="ChillVibes"/>
    <s v="Before"/>
    <n v="9.3159558024598752"/>
    <n v="8.4156608756201212"/>
    <n v="7.4156608756201212"/>
    <n v="14.303966383691547"/>
  </r>
  <r>
    <x v="109"/>
    <x v="0"/>
    <d v="2024-06-26T00:00:00"/>
    <x v="0"/>
    <x v="2"/>
    <n v="3253"/>
    <n v="483"/>
    <n v="336"/>
    <n v="25397"/>
    <n v="51485"/>
    <n v="131"/>
    <x v="1"/>
    <x v="1"/>
    <s v="IndieWave"/>
    <s v="During"/>
    <n v="9.2877749517184558"/>
    <n v="8.894908863055317"/>
    <n v="7.894908863055317"/>
    <n v="16.549198724258769"/>
  </r>
  <r>
    <x v="110"/>
    <x v="2"/>
    <d v="2024-07-20T00:00:00"/>
    <x v="2"/>
    <x v="4"/>
    <n v="4955"/>
    <n v="299"/>
    <n v="345"/>
    <n v="33644"/>
    <n v="43547"/>
    <n v="194"/>
    <x v="1"/>
    <x v="4"/>
    <s v="SummerBeats"/>
    <s v="Before"/>
    <n v="9.2877749517184558"/>
    <n v="9.9058563491749361"/>
    <n v="8.9058563491749361"/>
    <n v="17.218523362263703"/>
  </r>
  <r>
    <x v="111"/>
    <x v="0"/>
    <d v="2025-02-16T00:00:00"/>
    <x v="0"/>
    <x v="9"/>
    <n v="1333"/>
    <n v="286"/>
    <n v="298"/>
    <n v="36174"/>
    <n v="34517"/>
    <n v="170"/>
    <x v="0"/>
    <x v="0"/>
    <s v="ChillVibes"/>
    <s v="Before"/>
    <n v="9.2427138812039953"/>
    <n v="9.4628373731063622"/>
    <n v="8.4628373731063622"/>
    <n v="5.7693370929396801"/>
  </r>
  <r>
    <x v="112"/>
    <x v="0"/>
    <d v="2024-09-09T00:00:00"/>
    <x v="0"/>
    <x v="2"/>
    <n v="1616"/>
    <n v="360"/>
    <n v="180"/>
    <n v="54342"/>
    <n v="18796"/>
    <n v="282"/>
    <x v="0"/>
    <x v="0"/>
    <s v="ChillVibes"/>
    <s v="Before"/>
    <n v="9.2625617485655027"/>
    <n v="9.6101426923811744"/>
    <n v="8.6101426923811744"/>
    <n v="4.4864009421810023"/>
  </r>
  <r>
    <x v="113"/>
    <x v="1"/>
    <d v="2024-07-16T00:00:00"/>
    <x v="0"/>
    <x v="7"/>
    <n v="1803"/>
    <n v="273"/>
    <n v="287"/>
    <n v="46176"/>
    <n v="25488"/>
    <n v="141"/>
    <x v="3"/>
    <x v="1"/>
    <s v="ChillVibes"/>
    <s v="Before"/>
    <n v="9.2900109486021964"/>
    <n v="8.397059332633356"/>
    <n v="7.397059332633356"/>
    <n v="5.4227304227304227"/>
  </r>
  <r>
    <x v="114"/>
    <x v="0"/>
    <d v="2025-04-15T00:00:00"/>
    <x v="0"/>
    <x v="1"/>
    <n v="4177"/>
    <n v="489"/>
    <n v="331"/>
    <n v="57451"/>
    <n v="73793"/>
    <n v="251"/>
    <x v="1"/>
    <x v="1"/>
    <s v="IndieWave"/>
    <s v="Before"/>
    <n v="9.3123651712950952"/>
    <n v="10.384846819296596"/>
    <n v="9.3848468192965964"/>
    <n v="9.1347409096447407"/>
  </r>
  <r>
    <x v="115"/>
    <x v="0"/>
    <d v="2025-05-04T00:00:00"/>
    <x v="1"/>
    <x v="2"/>
    <n v="1311"/>
    <n v="181"/>
    <n v="361"/>
    <n v="37148"/>
    <n v="44875"/>
    <n v="245"/>
    <x v="3"/>
    <x v="1"/>
    <s v="Wrapped2024"/>
    <s v="Before"/>
    <n v="9.3133978704907374"/>
    <n v="7.1149708947648378"/>
    <n v="6.1149708947648378"/>
    <n v="5.647679552062022"/>
  </r>
  <r>
    <x v="116"/>
    <x v="0"/>
    <d v="2024-02-18T00:00:00"/>
    <x v="1"/>
    <x v="8"/>
    <n v="1516"/>
    <n v="215"/>
    <n v="332"/>
    <n v="58981"/>
    <n v="36118"/>
    <n v="211"/>
    <x v="3"/>
    <x v="1"/>
    <s v="Wrapped2024"/>
    <s v="Before"/>
    <n v="9.3348348197213138"/>
    <n v="11.282737453589345"/>
    <n v="10.282737453589345"/>
    <n v="3.8554788830301288"/>
  </r>
  <r>
    <x v="117"/>
    <x v="1"/>
    <d v="2024-05-16T00:00:00"/>
    <x v="1"/>
    <x v="4"/>
    <n v="2023"/>
    <n v="124"/>
    <n v="99"/>
    <n v="54524"/>
    <n v="34790"/>
    <n v="195"/>
    <x v="1"/>
    <x v="3"/>
    <s v="ChillVibes"/>
    <s v="Before"/>
    <n v="9.3670663252312618"/>
    <n v="11.331450177009771"/>
    <n v="10.331450177009771"/>
    <n v="4.4769275915193312"/>
  </r>
  <r>
    <x v="118"/>
    <x v="1"/>
    <d v="2025-05-29T00:00:00"/>
    <x v="1"/>
    <x v="4"/>
    <n v="2134"/>
    <n v="322"/>
    <n v="114"/>
    <n v="44338"/>
    <n v="52165"/>
    <n v="176"/>
    <x v="2"/>
    <x v="0"/>
    <s v="ChillVibes"/>
    <s v="Before"/>
    <n v="9.396002057383404"/>
    <n v="7.1874507609522631"/>
    <n v="6.1874507609522631"/>
    <n v="6.1933330326131086"/>
  </r>
  <r>
    <x v="119"/>
    <x v="0"/>
    <d v="2025-01-17T00:00:00"/>
    <x v="0"/>
    <x v="7"/>
    <n v="2266"/>
    <n v="126"/>
    <n v="140"/>
    <n v="53759"/>
    <n v="46834"/>
    <n v="277"/>
    <x v="1"/>
    <x v="1"/>
    <s v="IndieWave"/>
    <s v="Before"/>
    <n v="9.4150655634832301"/>
    <n v="9.0620453688226341"/>
    <n v="8.0620453688226341"/>
    <n v="5.2251715991740912"/>
  </r>
  <r>
    <x v="120"/>
    <x v="0"/>
    <d v="2025-04-30T00:00:00"/>
    <x v="1"/>
    <x v="2"/>
    <n v="3916"/>
    <n v="459"/>
    <n v="229"/>
    <n v="48989"/>
    <n v="39768"/>
    <n v="200"/>
    <x v="3"/>
    <x v="1"/>
    <s v="Wrapped2024"/>
    <s v="Before"/>
    <n v="9.4401547488982533"/>
    <n v="10.161844321750634"/>
    <n v="9.1618443217506336"/>
    <n v="9.8062830431321313"/>
  </r>
  <r>
    <x v="121"/>
    <x v="1"/>
    <d v="2024-02-24T00:00:00"/>
    <x v="1"/>
    <x v="4"/>
    <n v="1022"/>
    <n v="463"/>
    <n v="360"/>
    <n v="51468"/>
    <n v="24279"/>
    <n v="230"/>
    <x v="1"/>
    <x v="3"/>
    <s v="ChillVibes"/>
    <s v="Before"/>
    <n v="9.4379491567643132"/>
    <n v="7.1627053809993662"/>
    <n v="6.1627053809993662"/>
    <n v="4.0316313048884744"/>
  </r>
  <r>
    <x v="122"/>
    <x v="2"/>
    <d v="2024-05-12T00:00:00"/>
    <x v="0"/>
    <x v="8"/>
    <n v="2911"/>
    <n v="467"/>
    <n v="94"/>
    <n v="59083"/>
    <n v="49762"/>
    <n v="236"/>
    <x v="1"/>
    <x v="2"/>
    <s v="IndieWave"/>
    <s v="Before"/>
    <n v="9.470714719502956"/>
    <n v="9.6534117427300306"/>
    <n v="8.6534117427300306"/>
    <n v="6.2759169304199185"/>
  </r>
  <r>
    <x v="123"/>
    <x v="1"/>
    <d v="2024-05-09T00:00:00"/>
    <x v="1"/>
    <x v="2"/>
    <n v="3277"/>
    <n v="423"/>
    <n v="259"/>
    <n v="46328"/>
    <n v="44293"/>
    <n v="299"/>
    <x v="0"/>
    <x v="0"/>
    <s v="ChillVibes"/>
    <s v="Before"/>
    <n v="9.4901951938266329"/>
    <n v="12.25088705209113"/>
    <n v="11.25088705209113"/>
    <n v="9.1909860127784491"/>
  </r>
  <r>
    <x v="124"/>
    <x v="1"/>
    <d v="2024-11-06T00:00:00"/>
    <x v="0"/>
    <x v="8"/>
    <n v="2956"/>
    <n v="381"/>
    <n v="345"/>
    <n v="33347"/>
    <n v="22558"/>
    <n v="173"/>
    <x v="3"/>
    <x v="1"/>
    <s v="ChillVibes"/>
    <s v="Before"/>
    <n v="9.4920308329741676"/>
    <n v="9.5687530157396736"/>
    <n v="8.5687530157396736"/>
    <n v="11.560260293279754"/>
  </r>
  <r>
    <x v="125"/>
    <x v="1"/>
    <d v="2024-01-04T00:00:00"/>
    <x v="1"/>
    <x v="5"/>
    <n v="3208"/>
    <n v="476"/>
    <n v="277"/>
    <n v="56072"/>
    <n v="21061"/>
    <n v="113"/>
    <x v="2"/>
    <x v="0"/>
    <s v="ChillVibes"/>
    <s v="Before"/>
    <n v="9.4792639844537607"/>
    <n v="9.4099070775377758"/>
    <n v="8.4099070775377758"/>
    <n v="7.2656584391496652"/>
  </r>
  <r>
    <x v="126"/>
    <x v="1"/>
    <d v="2024-01-28T00:00:00"/>
    <x v="0"/>
    <x v="4"/>
    <n v="1456"/>
    <n v="265"/>
    <n v="137"/>
    <n v="53485"/>
    <n v="59729"/>
    <n v="145"/>
    <x v="0"/>
    <x v="1"/>
    <s v="IndieWave"/>
    <s v="Before"/>
    <n v="9.4930130872196248"/>
    <n v="10.377988007824456"/>
    <n v="9.377988007824456"/>
    <n v="3.7449752266990743"/>
  </r>
  <r>
    <x v="127"/>
    <x v="0"/>
    <d v="2024-02-22T00:00:00"/>
    <x v="0"/>
    <x v="2"/>
    <n v="1902"/>
    <n v="394"/>
    <n v="279"/>
    <n v="24615"/>
    <n v="51330"/>
    <n v="176"/>
    <x v="0"/>
    <x v="0"/>
    <s v="ChillVibes"/>
    <s v="Before"/>
    <n v="9.5289383238478784"/>
    <n v="10.058583894812617"/>
    <n v="9.0585838948126174"/>
    <n v="11.176112126751981"/>
  </r>
  <r>
    <x v="128"/>
    <x v="1"/>
    <d v="2025-07-01T00:00:00"/>
    <x v="1"/>
    <x v="1"/>
    <n v="3219"/>
    <n v="424"/>
    <n v="267"/>
    <n v="48879"/>
    <n v="37691"/>
    <n v="224"/>
    <x v="1"/>
    <x v="3"/>
    <s v="ChillVibes"/>
    <s v="Before"/>
    <n v="9.518578740181816"/>
    <n v="10.283766241383697"/>
    <n v="9.283766241383697"/>
    <n v="8.4576198367397044"/>
  </r>
  <r>
    <x v="129"/>
    <x v="2"/>
    <d v="2024-01-10T00:00:00"/>
    <x v="0"/>
    <x v="1"/>
    <n v="1261"/>
    <n v="190"/>
    <n v="233"/>
    <n v="59888"/>
    <n v="51449"/>
    <n v="205"/>
    <x v="1"/>
    <x v="2"/>
    <s v="IndieWave"/>
    <s v="Before"/>
    <n v="9.5252936699504396"/>
    <n v="10.120338766075601"/>
    <n v="9.1203387660756015"/>
    <n v="3.1542212129308043"/>
  </r>
  <r>
    <x v="130"/>
    <x v="1"/>
    <d v="2025-03-20T00:00:00"/>
    <x v="0"/>
    <x v="9"/>
    <n v="1564"/>
    <n v="362"/>
    <n v="371"/>
    <n v="42075"/>
    <n v="66659"/>
    <n v="205"/>
    <x v="0"/>
    <x v="1"/>
    <s v="IndieWave"/>
    <s v="Before"/>
    <n v="9.5658737492945143"/>
    <n v="8.3239655892426434"/>
    <n v="7.3239655892426434"/>
    <n v="5.9465240641711228"/>
  </r>
  <r>
    <x v="131"/>
    <x v="1"/>
    <d v="2024-09-28T00:00:00"/>
    <x v="0"/>
    <x v="5"/>
    <n v="4006"/>
    <n v="420"/>
    <n v="194"/>
    <n v="49964"/>
    <n v="20685"/>
    <n v="148"/>
    <x v="3"/>
    <x v="1"/>
    <s v="ChillVibes"/>
    <s v="Before"/>
    <n v="9.5890747088145361"/>
    <n v="7.1797031539050113"/>
    <n v="6.1797031539050113"/>
    <n v="9.5428708670242575"/>
  </r>
  <r>
    <x v="132"/>
    <x v="2"/>
    <d v="2024-01-27T00:00:00"/>
    <x v="0"/>
    <x v="9"/>
    <n v="1976"/>
    <n v="262"/>
    <n v="218"/>
    <n v="51696"/>
    <n v="44846"/>
    <n v="139"/>
    <x v="1"/>
    <x v="2"/>
    <s v="IndieWave"/>
    <s v="Before"/>
    <n v="9.5893727981164059"/>
    <n v="10.624608803536509"/>
    <n v="9.6246088035365087"/>
    <n v="5.0197307335190349"/>
  </r>
  <r>
    <x v="133"/>
    <x v="1"/>
    <d v="2025-05-15T00:00:00"/>
    <x v="0"/>
    <x v="2"/>
    <n v="1583"/>
    <n v="433"/>
    <n v="249"/>
    <n v="30256"/>
    <n v="47066"/>
    <n v="196"/>
    <x v="3"/>
    <x v="1"/>
    <s v="ChillVibes"/>
    <s v="Before"/>
    <n v="9.6190457985358737"/>
    <n v="8.0826622706883118"/>
    <n v="7.0826622706883118"/>
    <n v="8.1339238498149129"/>
  </r>
  <r>
    <x v="134"/>
    <x v="1"/>
    <d v="2024-10-04T00:00:00"/>
    <x v="1"/>
    <x v="1"/>
    <n v="2870"/>
    <n v="380"/>
    <n v="393"/>
    <n v="37621"/>
    <n v="71794"/>
    <n v="127"/>
    <x v="2"/>
    <x v="0"/>
    <s v="ChillVibes"/>
    <s v="Before"/>
    <n v="9.6287524779392744"/>
    <n v="6.8933574009318352"/>
    <n v="5.8933574009318352"/>
    <n v="10.020998910183142"/>
  </r>
  <r>
    <x v="135"/>
    <x v="1"/>
    <d v="2024-11-19T00:00:00"/>
    <x v="0"/>
    <x v="7"/>
    <n v="3728"/>
    <n v="271"/>
    <n v="275"/>
    <n v="22827"/>
    <n v="37034"/>
    <n v="199"/>
    <x v="3"/>
    <x v="1"/>
    <s v="ChillVibes"/>
    <s v="Before"/>
    <n v="9.6261719093060911"/>
    <n v="7.0121710339616792"/>
    <n v="6.0121710339616792"/>
    <n v="19.595216191352346"/>
  </r>
  <r>
    <x v="136"/>
    <x v="1"/>
    <d v="2024-04-05T00:00:00"/>
    <x v="1"/>
    <x v="2"/>
    <n v="4965"/>
    <n v="175"/>
    <n v="307"/>
    <n v="32793"/>
    <n v="43412"/>
    <n v="296"/>
    <x v="0"/>
    <x v="0"/>
    <s v="ChillVibes"/>
    <s v="Before"/>
    <n v="9.5601517484978409"/>
    <n v="11.141813643874301"/>
    <n v="10.141813643874301"/>
    <n v="17.512883847162506"/>
  </r>
  <r>
    <x v="137"/>
    <x v="1"/>
    <d v="2024-11-28T00:00:00"/>
    <x v="1"/>
    <x v="2"/>
    <n v="1131"/>
    <n v="100"/>
    <n v="116"/>
    <n v="48437"/>
    <n v="72704"/>
    <n v="236"/>
    <x v="1"/>
    <x v="3"/>
    <s v="ChillVibes"/>
    <s v="Before"/>
    <n v="9.5071335345067443"/>
    <n v="10.600167669130984"/>
    <n v="9.6001676691309843"/>
    <n v="3.2681627681318002"/>
  </r>
  <r>
    <x v="138"/>
    <x v="1"/>
    <d v="2025-03-09T00:00:00"/>
    <x v="0"/>
    <x v="9"/>
    <n v="2754"/>
    <n v="215"/>
    <n v="264"/>
    <n v="27762"/>
    <n v="70203"/>
    <n v="289"/>
    <x v="3"/>
    <x v="1"/>
    <s v="ChillVibes"/>
    <s v="Before"/>
    <n v="9.5490058215293949"/>
    <n v="15.10293484613816"/>
    <n v="14.10293484613816"/>
    <n v="12.686405878539009"/>
  </r>
  <r>
    <x v="139"/>
    <x v="1"/>
    <d v="2024-08-27T00:00:00"/>
    <x v="1"/>
    <x v="2"/>
    <n v="1856"/>
    <n v="357"/>
    <n v="348"/>
    <n v="29428"/>
    <n v="70206"/>
    <n v="236"/>
    <x v="2"/>
    <x v="0"/>
    <s v="ChillVibes"/>
    <s v="Before"/>
    <n v="9.5278071724955424"/>
    <n v="10.536793271008571"/>
    <n v="9.5367932710085714"/>
    <n v="9.5045534864754657"/>
  </r>
  <r>
    <x v="140"/>
    <x v="2"/>
    <d v="2024-10-01T00:00:00"/>
    <x v="2"/>
    <x v="1"/>
    <n v="3543"/>
    <n v="334"/>
    <n v="218"/>
    <n v="58007"/>
    <n v="24792"/>
    <n v="273"/>
    <x v="1"/>
    <x v="4"/>
    <s v="SummerBeats"/>
    <s v="Before"/>
    <n v="9.5279653608358128"/>
    <n v="9.3815997530193016"/>
    <n v="8.3815997530193016"/>
    <n v="7.5301256744875618"/>
  </r>
  <r>
    <x v="141"/>
    <x v="0"/>
    <d v="2024-12-21T00:00:00"/>
    <x v="1"/>
    <x v="2"/>
    <n v="4563"/>
    <n v="398"/>
    <n v="163"/>
    <n v="43679"/>
    <n v="48760"/>
    <n v="92"/>
    <x v="3"/>
    <x v="1"/>
    <s v="Wrapped2024"/>
    <s v="Before"/>
    <n v="9.5416491943039539"/>
    <n v="11.445190249484515"/>
    <n v="10.445190249484515"/>
    <n v="11.941665331166007"/>
  </r>
  <r>
    <x v="142"/>
    <x v="0"/>
    <d v="2024-06-17T00:00:00"/>
    <x v="0"/>
    <x v="0"/>
    <n v="4283"/>
    <n v="471"/>
    <n v="156"/>
    <n v="53004"/>
    <n v="25678"/>
    <n v="105"/>
    <x v="1"/>
    <x v="1"/>
    <s v="IndieWave"/>
    <s v="During"/>
    <n v="9.5250973588773213"/>
    <n v="11.14397980460544"/>
    <n v="10.14397980460544"/>
    <n v="9.4615500716927023"/>
  </r>
  <r>
    <x v="143"/>
    <x v="0"/>
    <d v="2025-02-14T00:00:00"/>
    <x v="0"/>
    <x v="0"/>
    <n v="2329"/>
    <n v="373"/>
    <n v="291"/>
    <n v="49577"/>
    <n v="28002"/>
    <n v="82"/>
    <x v="0"/>
    <x v="0"/>
    <s v="ChillVibes"/>
    <s v="Before"/>
    <n v="9.5250973588773213"/>
    <n v="9.1852254438880241"/>
    <n v="8.1852254438880241"/>
    <n v="6.2024729209109069"/>
  </r>
  <r>
    <x v="144"/>
    <x v="1"/>
    <d v="2025-05-28T00:00:00"/>
    <x v="1"/>
    <x v="7"/>
    <n v="4287"/>
    <n v="273"/>
    <n v="122"/>
    <n v="40792"/>
    <n v="23878"/>
    <n v="277"/>
    <x v="2"/>
    <x v="0"/>
    <s v="ChillVibes"/>
    <s v="Before"/>
    <n v="9.5481711396965316"/>
    <n v="9.820781785656667"/>
    <n v="8.820781785656667"/>
    <n v="12.156795450088252"/>
  </r>
  <r>
    <x v="145"/>
    <x v="0"/>
    <d v="2025-05-22T00:00:00"/>
    <x v="0"/>
    <x v="0"/>
    <n v="2633"/>
    <n v="318"/>
    <n v="380"/>
    <n v="40869"/>
    <n v="64474"/>
    <n v="245"/>
    <x v="1"/>
    <x v="1"/>
    <s v="IndieWave"/>
    <s v="Before"/>
    <n v="9.5299290116518343"/>
    <n v="8.64272527564966"/>
    <n v="7.64272527564966"/>
    <n v="8.7499082434118769"/>
  </r>
  <r>
    <x v="146"/>
    <x v="1"/>
    <d v="2024-01-21T00:00:00"/>
    <x v="1"/>
    <x v="0"/>
    <n v="2383"/>
    <n v="136"/>
    <n v="302"/>
    <n v="39187"/>
    <n v="22133"/>
    <n v="208"/>
    <x v="2"/>
    <x v="0"/>
    <s v="ChillVibes"/>
    <s v="Before"/>
    <n v="9.5354221156535228"/>
    <n v="9.3517510281393648"/>
    <n v="8.3517510281393648"/>
    <n v="7.7296042054763063"/>
  </r>
  <r>
    <x v="147"/>
    <x v="1"/>
    <d v="2025-02-08T00:00:00"/>
    <x v="1"/>
    <x v="9"/>
    <n v="4752"/>
    <n v="334"/>
    <n v="56"/>
    <n v="48017"/>
    <n v="55534"/>
    <n v="270"/>
    <x v="1"/>
    <x v="3"/>
    <s v="ChillVibes"/>
    <s v="Before"/>
    <n v="9.548229334874641"/>
    <n v="9.8602984557740729"/>
    <n v="8.8602984557740729"/>
    <n v="11.271008184601287"/>
  </r>
  <r>
    <x v="148"/>
    <x v="1"/>
    <d v="2025-04-13T00:00:00"/>
    <x v="0"/>
    <x v="8"/>
    <n v="3890"/>
    <n v="408"/>
    <n v="338"/>
    <n v="56994"/>
    <n v="32621"/>
    <n v="286"/>
    <x v="0"/>
    <x v="1"/>
    <s v="IndieWave"/>
    <s v="Before"/>
    <n v="9.535923771662306"/>
    <n v="8.5856361931019016"/>
    <n v="7.5856361931019016"/>
    <n v="8.6359967715899923"/>
  </r>
  <r>
    <x v="149"/>
    <x v="1"/>
    <d v="2024-05-30T00:00:00"/>
    <x v="1"/>
    <x v="9"/>
    <n v="2311"/>
    <n v="207"/>
    <n v="363"/>
    <n v="30349"/>
    <n v="32925"/>
    <n v="88"/>
    <x v="2"/>
    <x v="0"/>
    <s v="ChillVibes"/>
    <s v="Before"/>
    <n v="9.5423980666268555"/>
    <n v="8.1468827481192125"/>
    <n v="7.1468827481192125"/>
    <n v="9.7828594022867303"/>
  </r>
  <r>
    <x v="150"/>
    <x v="0"/>
    <d v="2024-08-12T00:00:00"/>
    <x v="1"/>
    <x v="0"/>
    <n v="2962"/>
    <n v="400"/>
    <n v="280"/>
    <n v="52508"/>
    <n v="58329"/>
    <n v="219"/>
    <x v="3"/>
    <x v="1"/>
    <s v="Wrapped2024"/>
    <s v="Before"/>
    <n v="9.5406555931800447"/>
    <n v="10.561810222888175"/>
    <n v="9.5618102228881749"/>
    <n v="7.3531652319646534"/>
  </r>
  <r>
    <x v="151"/>
    <x v="0"/>
    <d v="2024-09-27T00:00:00"/>
    <x v="0"/>
    <x v="0"/>
    <n v="3118"/>
    <n v="116"/>
    <n v="195"/>
    <n v="37100"/>
    <n v="62629"/>
    <n v="272"/>
    <x v="1"/>
    <x v="1"/>
    <s v="IndieWave"/>
    <s v="Before"/>
    <n v="9.5566226761086277"/>
    <n v="10.012660379760414"/>
    <n v="9.0126603797604137"/>
    <n v="9.9757412398921836"/>
  </r>
  <r>
    <x v="152"/>
    <x v="1"/>
    <d v="2025-06-11T00:00:00"/>
    <x v="1"/>
    <x v="1"/>
    <n v="3805"/>
    <n v="453"/>
    <n v="63"/>
    <n v="52395"/>
    <n v="72934"/>
    <n v="87"/>
    <x v="1"/>
    <x v="3"/>
    <s v="ChillVibes"/>
    <s v="Before"/>
    <n v="9.55354092196316"/>
    <n v="9.7483413077721952"/>
    <n v="8.7483413077721952"/>
    <n v="8.4130165092088944"/>
  </r>
  <r>
    <x v="153"/>
    <x v="0"/>
    <d v="2024-11-19T00:00:00"/>
    <x v="0"/>
    <x v="5"/>
    <n v="2525"/>
    <n v="272"/>
    <n v="294"/>
    <n v="51875"/>
    <n v="24732"/>
    <n v="92"/>
    <x v="1"/>
    <x v="1"/>
    <s v="IndieWave"/>
    <s v="Before"/>
    <n v="9.5619892509465227"/>
    <n v="9.3738028569912029"/>
    <n v="8.3738028569912029"/>
    <n v="6.1359036144578312"/>
  </r>
  <r>
    <x v="154"/>
    <x v="0"/>
    <d v="2024-04-25T00:00:00"/>
    <x v="0"/>
    <x v="4"/>
    <n v="3563"/>
    <n v="483"/>
    <n v="227"/>
    <n v="41085"/>
    <n v="26393"/>
    <n v="236"/>
    <x v="0"/>
    <x v="0"/>
    <s v="ChillVibes"/>
    <s v="Before"/>
    <n v="9.5875570542039021"/>
    <n v="9.1090091479959145"/>
    <n v="8.1090091479959145"/>
    <n v="10.974808324205915"/>
  </r>
  <r>
    <x v="155"/>
    <x v="2"/>
    <d v="2024-09-03T00:00:00"/>
    <x v="2"/>
    <x v="5"/>
    <n v="1437"/>
    <n v="494"/>
    <n v="129"/>
    <n v="53048"/>
    <n v="44090"/>
    <n v="230"/>
    <x v="1"/>
    <x v="4"/>
    <s v="SummerBeats"/>
    <s v="Before"/>
    <n v="9.5771265935271934"/>
    <n v="8.2695088231545135"/>
    <n v="7.2695088231545135"/>
    <n v="4.3168451213994876"/>
  </r>
  <r>
    <x v="156"/>
    <x v="2"/>
    <d v="2025-03-02T00:00:00"/>
    <x v="0"/>
    <x v="8"/>
    <n v="4425"/>
    <n v="185"/>
    <n v="162"/>
    <n v="24610"/>
    <n v="21342"/>
    <n v="158"/>
    <x v="1"/>
    <x v="2"/>
    <s v="IndieWave"/>
    <s v="Before"/>
    <n v="9.6169772107402807"/>
    <n v="8.0677023130806393"/>
    <n v="7.0677023130806393"/>
    <n v="20.032507110930517"/>
  </r>
  <r>
    <x v="157"/>
    <x v="1"/>
    <d v="2025-03-21T00:00:00"/>
    <x v="1"/>
    <x v="2"/>
    <n v="4609"/>
    <n v="427"/>
    <n v="395"/>
    <n v="33698"/>
    <n v="29259"/>
    <n v="216"/>
    <x v="1"/>
    <x v="3"/>
    <s v="ChillVibes"/>
    <s v="Before"/>
    <n v="9.5374693489067717"/>
    <n v="10.306864637963246"/>
    <n v="9.3068646379632458"/>
    <n v="16.757671078402279"/>
  </r>
  <r>
    <x v="158"/>
    <x v="0"/>
    <d v="2024-04-12T00:00:00"/>
    <x v="1"/>
    <x v="6"/>
    <n v="1558"/>
    <n v="352"/>
    <n v="202"/>
    <n v="25405"/>
    <n v="69941"/>
    <n v="219"/>
    <x v="3"/>
    <x v="1"/>
    <s v="Wrapped2024"/>
    <s v="Before"/>
    <n v="9.4819293356029579"/>
    <n v="12.208674162311581"/>
    <n v="11.208674162311581"/>
    <n v="9.1753591812635307"/>
  </r>
  <r>
    <x v="159"/>
    <x v="2"/>
    <d v="2024-02-08T00:00:00"/>
    <x v="2"/>
    <x v="7"/>
    <n v="1889"/>
    <n v="298"/>
    <n v="122"/>
    <n v="46225"/>
    <n v="74305"/>
    <n v="293"/>
    <x v="1"/>
    <x v="4"/>
    <s v="SummerBeats"/>
    <s v="Before"/>
    <n v="9.4843058484272955"/>
    <n v="8.5218089457114292"/>
    <n v="7.5218089457114292"/>
    <n v="5.6289886425094648"/>
  </r>
  <r>
    <x v="160"/>
    <x v="0"/>
    <d v="2025-05-26T00:00:00"/>
    <x v="0"/>
    <x v="0"/>
    <n v="3086"/>
    <n v="148"/>
    <n v="310"/>
    <n v="22824"/>
    <n v="58103"/>
    <n v="275"/>
    <x v="1"/>
    <x v="1"/>
    <s v="IndieWave"/>
    <s v="Before"/>
    <n v="9.5144255140985301"/>
    <n v="6.5499622365830765"/>
    <n v="5.5499622365830765"/>
    <n v="16.732386961093585"/>
  </r>
  <r>
    <x v="161"/>
    <x v="0"/>
    <d v="2024-11-14T00:00:00"/>
    <x v="0"/>
    <x v="4"/>
    <n v="2422"/>
    <n v="318"/>
    <n v="118"/>
    <n v="25386"/>
    <n v="20873"/>
    <n v="100"/>
    <x v="0"/>
    <x v="0"/>
    <s v="ChillVibes"/>
    <s v="Before"/>
    <n v="9.4575911719962065"/>
    <n v="10.327845657068453"/>
    <n v="9.3278456570684529"/>
    <n v="11.652091704088868"/>
  </r>
  <r>
    <x v="162"/>
    <x v="2"/>
    <d v="2024-08-09T00:00:00"/>
    <x v="2"/>
    <x v="8"/>
    <n v="3414"/>
    <n v="154"/>
    <n v="204"/>
    <n v="34146"/>
    <n v="44633"/>
    <n v="256"/>
    <x v="1"/>
    <x v="4"/>
    <s v="SummerBeats"/>
    <s v="Before"/>
    <n v="9.440174501106581"/>
    <n v="6.0751101166601629"/>
    <n v="5.0751101166601629"/>
    <n v="11.796403678322498"/>
  </r>
  <r>
    <x v="163"/>
    <x v="0"/>
    <d v="2025-06-27T00:00:00"/>
    <x v="1"/>
    <x v="5"/>
    <n v="1342"/>
    <n v="332"/>
    <n v="163"/>
    <n v="51712"/>
    <n v="57922"/>
    <n v="168"/>
    <x v="3"/>
    <x v="1"/>
    <s v="Wrapped2024"/>
    <s v="Before"/>
    <n v="9.421324667688852"/>
    <n v="10.056312805489737"/>
    <n v="9.0563128054897373"/>
    <n v="3.8772431930693068"/>
  </r>
  <r>
    <x v="164"/>
    <x v="0"/>
    <d v="2024-05-08T00:00:00"/>
    <x v="1"/>
    <x v="4"/>
    <n v="2414"/>
    <n v="220"/>
    <n v="280"/>
    <n v="27355"/>
    <n v="50562"/>
    <n v="258"/>
    <x v="3"/>
    <x v="1"/>
    <s v="Wrapped2024"/>
    <s v="Before"/>
    <n v="9.4660350021615915"/>
    <n v="10.504949682254038"/>
    <n v="9.504949682254038"/>
    <n v="11.595686346188996"/>
  </r>
  <r>
    <x v="165"/>
    <x v="0"/>
    <d v="2024-04-05T00:00:00"/>
    <x v="0"/>
    <x v="2"/>
    <n v="4383"/>
    <n v="352"/>
    <n v="176"/>
    <n v="53239"/>
    <n v="34168"/>
    <n v="288"/>
    <x v="1"/>
    <x v="1"/>
    <s v="IndieWave"/>
    <s v="Before"/>
    <n v="9.448720763592263"/>
    <n v="6.3705557152931549"/>
    <n v="5.3705557152931549"/>
    <n v="9.7653975469110996"/>
  </r>
  <r>
    <x v="166"/>
    <x v="2"/>
    <d v="2025-01-27T00:00:00"/>
    <x v="0"/>
    <x v="3"/>
    <n v="4294"/>
    <n v="423"/>
    <n v="93"/>
    <n v="29828"/>
    <n v="73144"/>
    <n v="298"/>
    <x v="1"/>
    <x v="2"/>
    <s v="IndieWave"/>
    <s v="Before"/>
    <n v="9.4461250522535849"/>
    <n v="11.024356664511657"/>
    <n v="10.024356664511657"/>
    <n v="17.1248491350409"/>
  </r>
  <r>
    <x v="167"/>
    <x v="0"/>
    <d v="2024-04-03T00:00:00"/>
    <x v="0"/>
    <x v="7"/>
    <n v="2762"/>
    <n v="339"/>
    <n v="323"/>
    <n v="33757"/>
    <n v="68511"/>
    <n v="121"/>
    <x v="0"/>
    <x v="0"/>
    <s v="ChillVibes"/>
    <s v="Before"/>
    <n v="9.3826645226437702"/>
    <n v="11.210055876660475"/>
    <n v="10.210055876660475"/>
    <n v="10.501525609503213"/>
  </r>
  <r>
    <x v="168"/>
    <x v="2"/>
    <d v="2025-01-03T00:00:00"/>
    <x v="0"/>
    <x v="2"/>
    <n v="3782"/>
    <n v="484"/>
    <n v="144"/>
    <n v="52172"/>
    <n v="59386"/>
    <n v="175"/>
    <x v="1"/>
    <x v="2"/>
    <s v="IndieWave"/>
    <s v="Before"/>
    <n v="9.3733406802532766"/>
    <n v="10.905480704146035"/>
    <n v="9.9054807041460347"/>
    <n v="8.7882389020930756"/>
  </r>
  <r>
    <x v="169"/>
    <x v="1"/>
    <d v="2024-11-23T00:00:00"/>
    <x v="0"/>
    <x v="2"/>
    <n v="4318"/>
    <n v="371"/>
    <n v="329"/>
    <n v="32347"/>
    <n v="68956"/>
    <n v="259"/>
    <x v="0"/>
    <x v="1"/>
    <s v="IndieWave"/>
    <s v="Before"/>
    <n v="9.3782575019184904"/>
    <n v="13.070429546001462"/>
    <n v="12.070429546001462"/>
    <n v="16.313723065508391"/>
  </r>
  <r>
    <x v="170"/>
    <x v="0"/>
    <d v="2024-09-01T00:00:00"/>
    <x v="1"/>
    <x v="3"/>
    <n v="2335"/>
    <n v="150"/>
    <n v="75"/>
    <n v="26114"/>
    <n v="57549"/>
    <n v="135"/>
    <x v="3"/>
    <x v="1"/>
    <s v="Wrapped2024"/>
    <s v="Before"/>
    <n v="9.3194823700236604"/>
    <n v="11.376705325823778"/>
    <n v="10.376705325823778"/>
    <n v="10.320134793597305"/>
  </r>
  <r>
    <x v="171"/>
    <x v="2"/>
    <d v="2024-04-18T00:00:00"/>
    <x v="0"/>
    <x v="1"/>
    <n v="4023"/>
    <n v="293"/>
    <n v="91"/>
    <n v="26795"/>
    <n v="28924"/>
    <n v="278"/>
    <x v="1"/>
    <x v="2"/>
    <s v="IndieWave"/>
    <s v="Before"/>
    <n v="9.3109297852067936"/>
    <n v="10.356921359150091"/>
    <n v="9.3569213591500908"/>
    <n v="17.484605336816568"/>
  </r>
  <r>
    <x v="172"/>
    <x v="0"/>
    <d v="2024-06-04T00:00:00"/>
    <x v="0"/>
    <x v="6"/>
    <n v="3948"/>
    <n v="151"/>
    <n v="249"/>
    <n v="43147"/>
    <n v="63136"/>
    <n v="230"/>
    <x v="1"/>
    <x v="1"/>
    <s v="IndieWave"/>
    <s v="Before"/>
    <n v="9.2404670649342933"/>
    <n v="10.4287448960301"/>
    <n v="9.4287448960300999"/>
    <n v="10.610239414095997"/>
  </r>
  <r>
    <x v="173"/>
    <x v="2"/>
    <d v="2025-04-02T00:00:00"/>
    <x v="0"/>
    <x v="3"/>
    <n v="4598"/>
    <n v="455"/>
    <n v="378"/>
    <n v="52952"/>
    <n v="58504"/>
    <n v="269"/>
    <x v="1"/>
    <x v="2"/>
    <s v="IndieWave"/>
    <s v="Before"/>
    <n v="9.2285560010285401"/>
    <n v="10.407299558449093"/>
    <n v="9.4072995584490933"/>
    <n v="10.764465931409578"/>
  </r>
  <r>
    <x v="174"/>
    <x v="1"/>
    <d v="2025-04-01T00:00:00"/>
    <x v="1"/>
    <x v="4"/>
    <n v="2665"/>
    <n v="143"/>
    <n v="315"/>
    <n v="54808"/>
    <n v="29818"/>
    <n v="98"/>
    <x v="1"/>
    <x v="3"/>
    <s v="ChillVibes"/>
    <s v="Before"/>
    <n v="9.2150831069023909"/>
    <n v="9.8851069272059728"/>
    <n v="8.8851069272059728"/>
    <n v="5.8768792876952265"/>
  </r>
  <r>
    <x v="175"/>
    <x v="0"/>
    <d v="2024-07-02T00:00:00"/>
    <x v="0"/>
    <x v="7"/>
    <n v="3469"/>
    <n v="371"/>
    <n v="76"/>
    <n v="46493"/>
    <n v="26906"/>
    <n v="150"/>
    <x v="0"/>
    <x v="0"/>
    <s v="ChillVibes"/>
    <s v="During"/>
    <n v="9.2446247336210376"/>
    <n v="6.7370586429858266"/>
    <n v="5.7370586429858266"/>
    <n v="8.7454025337147527"/>
  </r>
  <r>
    <x v="176"/>
    <x v="1"/>
    <d v="2024-11-10T00:00:00"/>
    <x v="0"/>
    <x v="1"/>
    <n v="4823"/>
    <n v="489"/>
    <n v="302"/>
    <n v="32470"/>
    <n v="31861"/>
    <n v="178"/>
    <x v="0"/>
    <x v="1"/>
    <s v="IndieWave"/>
    <s v="Before"/>
    <n v="9.2446247336210376"/>
    <n v="11.949631455565687"/>
    <n v="10.949631455565687"/>
    <n v="17.838004311672311"/>
  </r>
  <r>
    <x v="177"/>
    <x v="0"/>
    <d v="2024-12-14T00:00:00"/>
    <x v="1"/>
    <x v="8"/>
    <n v="3812"/>
    <n v="321"/>
    <n v="289"/>
    <n v="59838"/>
    <n v="36337"/>
    <n v="161"/>
    <x v="3"/>
    <x v="1"/>
    <s v="Wrapped2024"/>
    <s v="Before"/>
    <n v="9.1678981302455789"/>
    <n v="7.3599846005461851"/>
    <n v="6.3599846005461851"/>
    <n v="7.6590126675356789"/>
  </r>
  <r>
    <x v="178"/>
    <x v="1"/>
    <d v="2024-11-19T00:00:00"/>
    <x v="0"/>
    <x v="1"/>
    <n v="2387"/>
    <n v="353"/>
    <n v="78"/>
    <n v="39745"/>
    <n v="69226"/>
    <n v="208"/>
    <x v="0"/>
    <x v="1"/>
    <s v="IndieWave"/>
    <s v="Before"/>
    <n v="9.1814916929726955"/>
    <n v="7.2361721849462812"/>
    <n v="6.2361721849462812"/>
    <n v="7.6135362938734437"/>
  </r>
  <r>
    <x v="179"/>
    <x v="1"/>
    <d v="2025-04-30T00:00:00"/>
    <x v="1"/>
    <x v="3"/>
    <n v="3929"/>
    <n v="275"/>
    <n v="330"/>
    <n v="58329"/>
    <n v="33196"/>
    <n v="85"/>
    <x v="2"/>
    <x v="0"/>
    <s v="ChillVibes"/>
    <s v="Before"/>
    <n v="9.1957458329645068"/>
    <n v="10.11656122673809"/>
    <n v="9.1165612267380904"/>
    <n v="7.918873973495173"/>
  </r>
  <r>
    <x v="180"/>
    <x v="1"/>
    <d v="2024-03-19T00:00:00"/>
    <x v="0"/>
    <x v="8"/>
    <n v="2191"/>
    <n v="288"/>
    <n v="83"/>
    <n v="59606"/>
    <n v="24765"/>
    <n v="281"/>
    <x v="0"/>
    <x v="1"/>
    <s v="IndieWave"/>
    <s v="Before"/>
    <n v="9.2074602536935828"/>
    <n v="9.65714613680057"/>
    <n v="8.65714613680057"/>
    <n v="4.7696540616716439"/>
  </r>
  <r>
    <x v="181"/>
    <x v="0"/>
    <d v="2024-03-19T00:00:00"/>
    <x v="0"/>
    <x v="8"/>
    <n v="2878"/>
    <n v="278"/>
    <n v="255"/>
    <n v="47235"/>
    <n v="57922"/>
    <n v="112"/>
    <x v="0"/>
    <x v="0"/>
    <s v="ChillVibes"/>
    <s v="Before"/>
    <n v="9.2485510517678602"/>
    <n v="6.9185697935118329"/>
    <n v="5.9185697935118329"/>
    <n v="7.4584524187572772"/>
  </r>
  <r>
    <x v="182"/>
    <x v="1"/>
    <d v="2024-07-23T00:00:00"/>
    <x v="0"/>
    <x v="7"/>
    <n v="3204"/>
    <n v="398"/>
    <n v="85"/>
    <n v="22020"/>
    <n v="58353"/>
    <n v="286"/>
    <x v="0"/>
    <x v="1"/>
    <s v="IndieWave"/>
    <s v="Before"/>
    <n v="9.2652809455343146"/>
    <n v="9.6734916257026828"/>
    <n v="8.6734916257026828"/>
    <n v="18.042688465031791"/>
  </r>
  <r>
    <x v="183"/>
    <x v="1"/>
    <d v="2024-07-13T00:00:00"/>
    <x v="1"/>
    <x v="6"/>
    <n v="2408"/>
    <n v="323"/>
    <n v="251"/>
    <n v="47599"/>
    <n v="35543"/>
    <n v="287"/>
    <x v="2"/>
    <x v="0"/>
    <s v="ChillVibes"/>
    <s v="During"/>
    <n v="9.1824752142183002"/>
    <n v="8.8669784291038169"/>
    <n v="7.8669784291038169"/>
    <n v="6.8677913401542039"/>
  </r>
  <r>
    <x v="184"/>
    <x v="2"/>
    <d v="2025-04-22T00:00:00"/>
    <x v="2"/>
    <x v="2"/>
    <n v="2733"/>
    <n v="297"/>
    <n v="235"/>
    <n v="37980"/>
    <n v="33058"/>
    <n v="219"/>
    <x v="1"/>
    <x v="4"/>
    <s v="SummerBeats"/>
    <s v="Before"/>
    <n v="9.1824752142183002"/>
    <n v="8.0130025921729811"/>
    <n v="7.0130025921729811"/>
    <n v="9.1732490784623497"/>
  </r>
  <r>
    <x v="185"/>
    <x v="1"/>
    <d v="2024-06-16T00:00:00"/>
    <x v="1"/>
    <x v="1"/>
    <n v="4618"/>
    <n v="312"/>
    <n v="254"/>
    <n v="22571"/>
    <n v="29453"/>
    <n v="197"/>
    <x v="2"/>
    <x v="0"/>
    <s v="ChillVibes"/>
    <s v="During"/>
    <n v="9.1825630821778805"/>
    <n v="10.455462267609629"/>
    <n v="9.4554622676096294"/>
    <n v="23.840326082140802"/>
  </r>
  <r>
    <x v="186"/>
    <x v="2"/>
    <d v="2025-05-18T00:00:00"/>
    <x v="2"/>
    <x v="3"/>
    <n v="4210"/>
    <n v="319"/>
    <n v="350"/>
    <n v="37762"/>
    <n v="55162"/>
    <n v="204"/>
    <x v="1"/>
    <x v="4"/>
    <s v="SummerBeats"/>
    <s v="Before"/>
    <n v="9.1825630821778805"/>
    <n v="10.646790523301542"/>
    <n v="9.6467905233015419"/>
    <n v="13.460621789100152"/>
  </r>
  <r>
    <x v="187"/>
    <x v="0"/>
    <d v="2025-06-06T00:00:00"/>
    <x v="0"/>
    <x v="3"/>
    <n v="3987"/>
    <n v="171"/>
    <n v="274"/>
    <n v="45122"/>
    <n v="65431"/>
    <n v="168"/>
    <x v="1"/>
    <x v="1"/>
    <s v="IndieWave"/>
    <s v="Before"/>
    <n v="9.1414279023036276"/>
    <n v="9.6262559475437079"/>
    <n v="8.6262559475437079"/>
    <n v="10.194583573423163"/>
  </r>
  <r>
    <x v="188"/>
    <x v="2"/>
    <d v="2025-02-20T00:00:00"/>
    <x v="2"/>
    <x v="6"/>
    <n v="4957"/>
    <n v="262"/>
    <n v="365"/>
    <n v="49199"/>
    <n v="40314"/>
    <n v="216"/>
    <x v="1"/>
    <x v="4"/>
    <s v="SummerBeats"/>
    <s v="Before"/>
    <n v="9.1312030899626606"/>
    <n v="6.269286974175901"/>
    <n v="5.269286974175901"/>
    <n v="11.788857497103599"/>
  </r>
  <r>
    <x v="189"/>
    <x v="0"/>
    <d v="2025-01-16T00:00:00"/>
    <x v="0"/>
    <x v="4"/>
    <n v="2605"/>
    <n v="282"/>
    <n v="148"/>
    <n v="32201"/>
    <n v="49583"/>
    <n v="241"/>
    <x v="0"/>
    <x v="0"/>
    <s v="ChillVibes"/>
    <s v="Before"/>
    <n v="9.1051476545985341"/>
    <n v="9.5100576478201067"/>
    <n v="8.5100576478201067"/>
    <n v="10.173597093257973"/>
  </r>
  <r>
    <x v="190"/>
    <x v="2"/>
    <d v="2024-02-24T00:00:00"/>
    <x v="2"/>
    <x v="0"/>
    <n v="4221"/>
    <n v="307"/>
    <n v="58"/>
    <n v="45080"/>
    <n v="37214"/>
    <n v="240"/>
    <x v="1"/>
    <x v="4"/>
    <s v="SummerBeats"/>
    <s v="Before"/>
    <n v="9.0945689472850759"/>
    <n v="7.368613088059023"/>
    <n v="6.368613088059023"/>
    <n v="10.705412599822537"/>
  </r>
  <r>
    <x v="191"/>
    <x v="1"/>
    <d v="2024-09-16T00:00:00"/>
    <x v="1"/>
    <x v="5"/>
    <n v="4422"/>
    <n v="434"/>
    <n v="156"/>
    <n v="56165"/>
    <n v="52431"/>
    <n v="173"/>
    <x v="1"/>
    <x v="3"/>
    <s v="ChillVibes"/>
    <s v="Before"/>
    <n v="9.0784605107596992"/>
    <n v="7.7544713889474863"/>
    <n v="6.7544713889474863"/>
    <n v="9.2317279444493909"/>
  </r>
  <r>
    <x v="192"/>
    <x v="2"/>
    <d v="2024-06-04T00:00:00"/>
    <x v="2"/>
    <x v="3"/>
    <n v="1211"/>
    <n v="431"/>
    <n v="83"/>
    <n v="26532"/>
    <n v="47305"/>
    <n v="232"/>
    <x v="1"/>
    <x v="4"/>
    <s v="SummerBeats"/>
    <s v="Before"/>
    <n v="9.0769123548638433"/>
    <n v="7.094741868732517"/>
    <n v="6.094741868732517"/>
    <n v="7.3759987939092415"/>
  </r>
  <r>
    <x v="193"/>
    <x v="1"/>
    <d v="2024-05-10T00:00:00"/>
    <x v="1"/>
    <x v="1"/>
    <n v="2784"/>
    <n v="111"/>
    <n v="399"/>
    <n v="58366"/>
    <n v="69512"/>
    <n v="269"/>
    <x v="2"/>
    <x v="0"/>
    <s v="ChillVibes"/>
    <s v="Before"/>
    <n v="9.0942686156899128"/>
    <n v="8.7692414299918564"/>
    <n v="7.7692414299918564"/>
    <n v="6.1045814343967377"/>
  </r>
  <r>
    <x v="194"/>
    <x v="2"/>
    <d v="2024-01-14T00:00:00"/>
    <x v="0"/>
    <x v="2"/>
    <n v="3634"/>
    <n v="280"/>
    <n v="399"/>
    <n v="40256"/>
    <n v="52605"/>
    <n v="213"/>
    <x v="1"/>
    <x v="2"/>
    <s v="IndieWave"/>
    <s v="Before"/>
    <n v="9.125090133022832"/>
    <n v="12.567655605701493"/>
    <n v="11.567655605701493"/>
    <n v="11.243044515103339"/>
  </r>
  <r>
    <x v="195"/>
    <x v="0"/>
    <d v="2025-01-12T00:00:00"/>
    <x v="0"/>
    <x v="8"/>
    <n v="1771"/>
    <n v="487"/>
    <n v="272"/>
    <n v="48810"/>
    <n v="48084"/>
    <n v="272"/>
    <x v="0"/>
    <x v="0"/>
    <s v="ChillVibes"/>
    <s v="Before"/>
    <n v="9.1030281082094913"/>
    <n v="10.661759996925198"/>
    <n v="9.6617599969251984"/>
    <n v="5.7406269207129688"/>
  </r>
  <r>
    <x v="196"/>
    <x v="2"/>
    <d v="2024-12-08T00:00:00"/>
    <x v="0"/>
    <x v="7"/>
    <n v="1424"/>
    <n v="396"/>
    <n v="312"/>
    <n v="59517"/>
    <n v="46102"/>
    <n v="239"/>
    <x v="1"/>
    <x v="2"/>
    <s v="IndieWave"/>
    <s v="Before"/>
    <n v="9.1384218049199823"/>
    <n v="6.5509734707160705"/>
    <n v="5.5509734707160705"/>
    <n v="3.9837357393685839"/>
  </r>
  <r>
    <x v="197"/>
    <x v="1"/>
    <d v="2025-02-01T00:00:00"/>
    <x v="1"/>
    <x v="7"/>
    <n v="1079"/>
    <n v="265"/>
    <n v="190"/>
    <n v="43786"/>
    <n v="72428"/>
    <n v="222"/>
    <x v="0"/>
    <x v="0"/>
    <s v="ChillVibes"/>
    <s v="Before"/>
    <n v="9.1932588907237207"/>
    <n v="9.0297953516252729"/>
    <n v="8.0297953516252729"/>
    <n v="4.0104142876718587"/>
  </r>
  <r>
    <x v="198"/>
    <x v="1"/>
    <d v="2024-07-11T00:00:00"/>
    <x v="1"/>
    <x v="6"/>
    <n v="4247"/>
    <n v="179"/>
    <n v="175"/>
    <n v="32991"/>
    <n v="70120"/>
    <n v="276"/>
    <x v="0"/>
    <x v="0"/>
    <s v="ChillVibes"/>
    <s v="During"/>
    <n v="9.2489884025844944"/>
    <n v="9.3671265352887279"/>
    <n v="8.3671265352887279"/>
    <n v="14.782819556848835"/>
  </r>
  <r>
    <x v="199"/>
    <x v="1"/>
    <d v="2024-03-18T00:00:00"/>
    <x v="0"/>
    <x v="2"/>
    <n v="2033"/>
    <n v="420"/>
    <n v="94"/>
    <n v="56290"/>
    <n v="57391"/>
    <n v="196"/>
    <x v="3"/>
    <x v="1"/>
    <s v="ChillVibes"/>
    <s v="Before"/>
    <n v="9.2489884025844944"/>
    <n v="9.8612067969262629"/>
    <n v="8.8612067969262629"/>
    <n v="4.8729792147806004"/>
  </r>
  <r>
    <x v="200"/>
    <x v="1"/>
    <d v="2024-09-12T00:00:00"/>
    <x v="1"/>
    <x v="3"/>
    <n v="1839"/>
    <n v="223"/>
    <n v="171"/>
    <n v="35459"/>
    <n v="69988"/>
    <n v="114"/>
    <x v="2"/>
    <x v="0"/>
    <s v="ChillVibes"/>
    <s v="Before"/>
    <n v="9.2965537198432298"/>
    <n v="6.9904507618552243"/>
    <n v="5.9904507618552243"/>
    <n v="6.6189119828534357"/>
  </r>
  <r>
    <x v="201"/>
    <x v="1"/>
    <d v="2024-01-11T00:00:00"/>
    <x v="1"/>
    <x v="3"/>
    <n v="2340"/>
    <n v="141"/>
    <n v="206"/>
    <n v="24916"/>
    <n v="30582"/>
    <n v="157"/>
    <x v="0"/>
    <x v="0"/>
    <s v="ChillVibes"/>
    <s v="Before"/>
    <n v="9.325978354315648"/>
    <n v="10.931916328860051"/>
    <n v="9.9319163288600514"/>
    <n v="11.414352223470862"/>
  </r>
  <r>
    <x v="202"/>
    <x v="0"/>
    <d v="2024-10-06T00:00:00"/>
    <x v="0"/>
    <x v="7"/>
    <n v="2080"/>
    <n v="389"/>
    <n v="92"/>
    <n v="30971"/>
    <n v="25347"/>
    <n v="111"/>
    <x v="1"/>
    <x v="1"/>
    <s v="IndieWave"/>
    <s v="Before"/>
    <n v="9.3027742002139213"/>
    <n v="9.3378348805678399"/>
    <n v="8.3378348805678399"/>
    <n v="8.6274256562590814"/>
  </r>
  <r>
    <x v="203"/>
    <x v="1"/>
    <d v="2024-12-30T00:00:00"/>
    <x v="0"/>
    <x v="6"/>
    <n v="4214"/>
    <n v="286"/>
    <n v="127"/>
    <n v="47293"/>
    <n v="27184"/>
    <n v="232"/>
    <x v="3"/>
    <x v="1"/>
    <s v="ChillVibes"/>
    <s v="Before"/>
    <n v="9.3103623861010529"/>
    <n v="13.338835376255787"/>
    <n v="12.338835376255787"/>
    <n v="10.274247774512084"/>
  </r>
  <r>
    <x v="204"/>
    <x v="1"/>
    <d v="2025-04-16T00:00:00"/>
    <x v="0"/>
    <x v="3"/>
    <n v="3792"/>
    <n v="315"/>
    <n v="120"/>
    <n v="54592"/>
    <n v="67886"/>
    <n v="117"/>
    <x v="0"/>
    <x v="1"/>
    <s v="IndieWave"/>
    <s v="Before"/>
    <n v="9.29940914305093"/>
    <n v="9.5638965272847578"/>
    <n v="8.5638965272847578"/>
    <n v="7.9572098475967179"/>
  </r>
  <r>
    <x v="205"/>
    <x v="1"/>
    <d v="2024-08-21T00:00:00"/>
    <x v="1"/>
    <x v="1"/>
    <n v="3989"/>
    <n v="476"/>
    <n v="128"/>
    <n v="57569"/>
    <n v="40193"/>
    <n v="222"/>
    <x v="1"/>
    <x v="3"/>
    <s v="ChillVibes"/>
    <s v="Before"/>
    <n v="9.3148367211595993"/>
    <n v="10.653018893702685"/>
    <n v="9.6530188937026846"/>
    <n v="8.3638763918080912"/>
  </r>
  <r>
    <x v="206"/>
    <x v="1"/>
    <d v="2024-04-05T00:00:00"/>
    <x v="1"/>
    <x v="3"/>
    <n v="2857"/>
    <n v="443"/>
    <n v="359"/>
    <n v="51519"/>
    <n v="28256"/>
    <n v="155"/>
    <x v="0"/>
    <x v="0"/>
    <s v="ChillVibes"/>
    <s v="Before"/>
    <n v="9.325894399407872"/>
    <n v="6.3479785423663015"/>
    <n v="5.3479785423663015"/>
    <n v="7.4030940041538065"/>
  </r>
  <r>
    <x v="207"/>
    <x v="1"/>
    <d v="2025-04-07T00:00:00"/>
    <x v="0"/>
    <x v="8"/>
    <n v="1403"/>
    <n v="385"/>
    <n v="344"/>
    <n v="54223"/>
    <n v="72595"/>
    <n v="239"/>
    <x v="0"/>
    <x v="1"/>
    <s v="IndieWave"/>
    <s v="Before"/>
    <n v="9.3485155805285061"/>
    <n v="8.6407986877179912"/>
    <n v="7.6407986877179912"/>
    <n v="4.3726831787248956"/>
  </r>
  <r>
    <x v="208"/>
    <x v="1"/>
    <d v="2024-07-19T00:00:00"/>
    <x v="1"/>
    <x v="5"/>
    <n v="3071"/>
    <n v="126"/>
    <n v="200"/>
    <n v="44013"/>
    <n v="44679"/>
    <n v="118"/>
    <x v="1"/>
    <x v="3"/>
    <s v="ChillVibes"/>
    <s v="Before"/>
    <n v="9.4077516805499819"/>
    <n v="9.286142824476924"/>
    <n v="8.286142824476924"/>
    <n v="7.986276781859905"/>
  </r>
  <r>
    <x v="209"/>
    <x v="1"/>
    <d v="2025-05-03T00:00:00"/>
    <x v="1"/>
    <x v="7"/>
    <n v="1010"/>
    <n v="361"/>
    <n v="240"/>
    <n v="47229"/>
    <n v="72573"/>
    <n v="275"/>
    <x v="0"/>
    <x v="0"/>
    <s v="ChillVibes"/>
    <s v="Before"/>
    <n v="9.4248778841486569"/>
    <n v="7.6894977893396241"/>
    <n v="6.6894977893396241"/>
    <n v="3.9933091956213342"/>
  </r>
  <r>
    <x v="210"/>
    <x v="1"/>
    <d v="2024-04-14T00:00:00"/>
    <x v="1"/>
    <x v="0"/>
    <n v="1295"/>
    <n v="153"/>
    <n v="81"/>
    <n v="48350"/>
    <n v="61033"/>
    <n v="232"/>
    <x v="1"/>
    <x v="3"/>
    <s v="ChillVibes"/>
    <s v="Before"/>
    <n v="9.4911165266916715"/>
    <n v="8.0534440343557634"/>
    <n v="7.0534440343557634"/>
    <n v="3.6421923474663909"/>
  </r>
  <r>
    <x v="211"/>
    <x v="1"/>
    <d v="2025-06-19T00:00:00"/>
    <x v="1"/>
    <x v="5"/>
    <n v="1433"/>
    <n v="452"/>
    <n v="305"/>
    <n v="54541"/>
    <n v="63700"/>
    <n v="296"/>
    <x v="1"/>
    <x v="3"/>
    <s v="ChillVibes"/>
    <s v="Before"/>
    <n v="9.563325467175936"/>
    <n v="6.6585662622400266"/>
    <n v="5.6585662622400266"/>
    <n v="4.5580389065106983"/>
  </r>
  <r>
    <x v="212"/>
    <x v="0"/>
    <d v="2025-06-24T00:00:00"/>
    <x v="1"/>
    <x v="6"/>
    <n v="4902"/>
    <n v="422"/>
    <n v="376"/>
    <n v="31674"/>
    <n v="53225"/>
    <n v="147"/>
    <x v="3"/>
    <x v="1"/>
    <s v="Wrapped2024"/>
    <s v="Before"/>
    <n v="9.6258915491842494"/>
    <n v="9.7725492659318629"/>
    <n v="8.7725492659318629"/>
    <n v="18.459935593862472"/>
  </r>
  <r>
    <x v="213"/>
    <x v="1"/>
    <d v="2024-10-09T00:00:00"/>
    <x v="0"/>
    <x v="3"/>
    <n v="2659"/>
    <n v="167"/>
    <n v="73"/>
    <n v="23090"/>
    <n v="25872"/>
    <n v="293"/>
    <x v="0"/>
    <x v="1"/>
    <s v="IndieWave"/>
    <s v="Before"/>
    <n v="9.5140682068465523"/>
    <n v="8.2491131009539487"/>
    <n v="7.2491131009539487"/>
    <n v="13.82416630576007"/>
  </r>
  <r>
    <x v="214"/>
    <x v="2"/>
    <d v="2025-01-15T00:00:00"/>
    <x v="0"/>
    <x v="9"/>
    <n v="2599"/>
    <n v="324"/>
    <n v="182"/>
    <n v="37525"/>
    <n v="37216"/>
    <n v="186"/>
    <x v="1"/>
    <x v="2"/>
    <s v="IndieWave"/>
    <s v="Before"/>
    <n v="9.4588105389117629"/>
    <n v="12.009519158990084"/>
    <n v="11.009519158990084"/>
    <n v="8.7701532311792132"/>
  </r>
  <r>
    <x v="215"/>
    <x v="1"/>
    <d v="2025-01-12T00:00:00"/>
    <x v="0"/>
    <x v="4"/>
    <n v="1765"/>
    <n v="285"/>
    <n v="100"/>
    <n v="41313"/>
    <n v="56575"/>
    <n v="174"/>
    <x v="0"/>
    <x v="1"/>
    <s v="IndieWave"/>
    <s v="Before"/>
    <n v="9.4677541403108876"/>
    <n v="9.289494299910233"/>
    <n v="8.289494299910233"/>
    <n v="5.6253479534287028"/>
  </r>
  <r>
    <x v="216"/>
    <x v="0"/>
    <d v="2025-05-31T00:00:00"/>
    <x v="0"/>
    <x v="5"/>
    <n v="2169"/>
    <n v="240"/>
    <n v="57"/>
    <n v="26109"/>
    <n v="46667"/>
    <n v="133"/>
    <x v="0"/>
    <x v="0"/>
    <s v="ChillVibes"/>
    <s v="Before"/>
    <n v="9.5183121164540712"/>
    <n v="11.508082389138218"/>
    <n v="10.508082389138218"/>
    <n v="9.9544218468727248"/>
  </r>
  <r>
    <x v="217"/>
    <x v="1"/>
    <d v="2024-10-14T00:00:00"/>
    <x v="1"/>
    <x v="1"/>
    <n v="4303"/>
    <n v="306"/>
    <n v="302"/>
    <n v="39575"/>
    <n v="33762"/>
    <n v="265"/>
    <x v="1"/>
    <x v="3"/>
    <s v="ChillVibes"/>
    <s v="Before"/>
    <n v="9.5124973200484888"/>
    <n v="10.27575676102127"/>
    <n v="9.2757567610212703"/>
    <n v="13.078963992419457"/>
  </r>
  <r>
    <x v="218"/>
    <x v="1"/>
    <d v="2024-02-10T00:00:00"/>
    <x v="0"/>
    <x v="8"/>
    <n v="1519"/>
    <n v="456"/>
    <n v="379"/>
    <n v="51611"/>
    <n v="45880"/>
    <n v="176"/>
    <x v="0"/>
    <x v="1"/>
    <s v="IndieWave"/>
    <s v="Before"/>
    <n v="9.4643018244759087"/>
    <n v="7.8275433255201605"/>
    <n v="6.8275433255201605"/>
    <n v="4.9020557633062722"/>
  </r>
  <r>
    <x v="219"/>
    <x v="2"/>
    <d v="2024-12-10T00:00:00"/>
    <x v="0"/>
    <x v="5"/>
    <n v="2569"/>
    <n v="140"/>
    <n v="375"/>
    <n v="38372"/>
    <n v="22102"/>
    <n v="255"/>
    <x v="1"/>
    <x v="2"/>
    <s v="IndieWave"/>
    <s v="Before"/>
    <n v="9.5267983458617955"/>
    <n v="9.3199708393836111"/>
    <n v="8.3199708393836111"/>
    <n v="8.7016574585635365"/>
  </r>
  <r>
    <x v="220"/>
    <x v="1"/>
    <d v="2025-05-09T00:00:00"/>
    <x v="1"/>
    <x v="4"/>
    <n v="2778"/>
    <n v="241"/>
    <n v="317"/>
    <n v="26247"/>
    <n v="20677"/>
    <n v="282"/>
    <x v="2"/>
    <x v="0"/>
    <s v="ChillVibes"/>
    <s v="Before"/>
    <n v="9.5382586359631585"/>
    <n v="11.956324272906416"/>
    <n v="10.956324272906416"/>
    <n v="13.78443250657218"/>
  </r>
  <r>
    <x v="221"/>
    <x v="1"/>
    <d v="2025-06-21T00:00:00"/>
    <x v="0"/>
    <x v="1"/>
    <n v="3611"/>
    <n v="127"/>
    <n v="139"/>
    <n v="44768"/>
    <n v="29435"/>
    <n v="178"/>
    <x v="3"/>
    <x v="1"/>
    <s v="ChillVibes"/>
    <s v="Before"/>
    <n v="9.4784533701799312"/>
    <n v="8.7671170577237572"/>
    <n v="7.7671170577237572"/>
    <n v="9.0578091493924227"/>
  </r>
  <r>
    <x v="222"/>
    <x v="1"/>
    <d v="2024-06-19T00:00:00"/>
    <x v="0"/>
    <x v="5"/>
    <n v="1224"/>
    <n v="168"/>
    <n v="199"/>
    <n v="54232"/>
    <n v="52844"/>
    <n v="271"/>
    <x v="0"/>
    <x v="1"/>
    <s v="IndieWave"/>
    <s v="During"/>
    <n v="9.4844625733340386"/>
    <n v="7.0534757066532077"/>
    <n v="6.0534757066532077"/>
    <n v="3.433397256232483"/>
  </r>
  <r>
    <x v="223"/>
    <x v="1"/>
    <d v="2024-12-10T00:00:00"/>
    <x v="0"/>
    <x v="8"/>
    <n v="4673"/>
    <n v="270"/>
    <n v="93"/>
    <n v="45260"/>
    <n v="57513"/>
    <n v="103"/>
    <x v="3"/>
    <x v="1"/>
    <s v="ChillVibes"/>
    <s v="Before"/>
    <n v="9.4844625733340386"/>
    <n v="10.022298264773694"/>
    <n v="9.0222982647736938"/>
    <n v="11.354396818382678"/>
  </r>
  <r>
    <x v="224"/>
    <x v="2"/>
    <d v="2024-02-01T00:00:00"/>
    <x v="0"/>
    <x v="3"/>
    <n v="1432"/>
    <n v="437"/>
    <n v="267"/>
    <n v="40634"/>
    <n v="54511"/>
    <n v="197"/>
    <x v="1"/>
    <x v="2"/>
    <s v="IndieWave"/>
    <s v="Before"/>
    <n v="9.4573620770289875"/>
    <n v="9.5692316483800415"/>
    <n v="8.5692316483800415"/>
    <n v="5.7414972682974854"/>
  </r>
  <r>
    <x v="225"/>
    <x v="1"/>
    <d v="2024-01-17T00:00:00"/>
    <x v="1"/>
    <x v="2"/>
    <n v="2174"/>
    <n v="499"/>
    <n v="212"/>
    <n v="54938"/>
    <n v="27190"/>
    <n v="265"/>
    <x v="2"/>
    <x v="0"/>
    <s v="ChillVibes"/>
    <s v="Before"/>
    <n v="9.5120071477456261"/>
    <n v="8.2490829060061319"/>
    <n v="7.2490829060061319"/>
    <n v="5.7337362117295863"/>
  </r>
  <r>
    <x v="226"/>
    <x v="2"/>
    <d v="2025-03-22T00:00:00"/>
    <x v="0"/>
    <x v="4"/>
    <n v="4308"/>
    <n v="171"/>
    <n v="106"/>
    <n v="36955"/>
    <n v="23949"/>
    <n v="294"/>
    <x v="1"/>
    <x v="2"/>
    <s v="IndieWave"/>
    <s v="Before"/>
    <n v="9.5683992512682536"/>
    <n v="13.29240581463432"/>
    <n v="12.29240581463432"/>
    <n v="13.202543634149642"/>
  </r>
  <r>
    <x v="227"/>
    <x v="2"/>
    <d v="2024-05-30T00:00:00"/>
    <x v="2"/>
    <x v="5"/>
    <n v="1060"/>
    <n v="442"/>
    <n v="319"/>
    <n v="57194"/>
    <n v="24258"/>
    <n v="101"/>
    <x v="1"/>
    <x v="4"/>
    <s v="SummerBeats"/>
    <s v="Before"/>
    <n v="9.5133364575882329"/>
    <n v="11.559939353156583"/>
    <n v="10.559939353156583"/>
    <n v="3.3604923593383922"/>
  </r>
  <r>
    <x v="228"/>
    <x v="2"/>
    <d v="2024-02-24T00:00:00"/>
    <x v="0"/>
    <x v="4"/>
    <n v="4653"/>
    <n v="226"/>
    <n v="349"/>
    <n v="56876"/>
    <n v="28452"/>
    <n v="257"/>
    <x v="1"/>
    <x v="2"/>
    <s v="IndieWave"/>
    <s v="Before"/>
    <n v="9.6079955975613061"/>
    <n v="10.208360300191504"/>
    <n v="9.2083603001915044"/>
    <n v="9.6437864828750257"/>
  </r>
  <r>
    <x v="229"/>
    <x v="2"/>
    <d v="2025-05-14T00:00:00"/>
    <x v="0"/>
    <x v="0"/>
    <n v="1701"/>
    <n v="272"/>
    <n v="385"/>
    <n v="47496"/>
    <n v="40832"/>
    <n v="246"/>
    <x v="1"/>
    <x v="2"/>
    <s v="IndieWave"/>
    <s v="Before"/>
    <n v="9.6074363649782786"/>
    <n v="13.588589145539217"/>
    <n v="12.588589145539217"/>
    <n v="5.482566953006569"/>
  </r>
  <r>
    <x v="230"/>
    <x v="0"/>
    <d v="2024-03-28T00:00:00"/>
    <x v="0"/>
    <x v="5"/>
    <n v="1673"/>
    <n v="280"/>
    <n v="67"/>
    <n v="29847"/>
    <n v="48016"/>
    <n v="213"/>
    <x v="0"/>
    <x v="0"/>
    <s v="ChillVibes"/>
    <s v="Before"/>
    <n v="9.6729104826286232"/>
    <n v="11.973046787579495"/>
    <n v="10.973046787579495"/>
    <n v="7.4814889268603206"/>
  </r>
  <r>
    <x v="231"/>
    <x v="2"/>
    <d v="2025-03-07T00:00:00"/>
    <x v="0"/>
    <x v="7"/>
    <n v="4310"/>
    <n v="284"/>
    <n v="306"/>
    <n v="44606"/>
    <n v="42604"/>
    <n v="290"/>
    <x v="1"/>
    <x v="2"/>
    <s v="IndieWave"/>
    <s v="Before"/>
    <n v="9.7082559915926279"/>
    <n v="8.1771085894812927"/>
    <n v="7.1771085894812927"/>
    <n v="11.635206026095144"/>
  </r>
  <r>
    <x v="232"/>
    <x v="1"/>
    <d v="2024-10-20T00:00:00"/>
    <x v="0"/>
    <x v="8"/>
    <n v="2752"/>
    <n v="309"/>
    <n v="91"/>
    <n v="39038"/>
    <n v="28095"/>
    <n v="277"/>
    <x v="3"/>
    <x v="1"/>
    <s v="ChillVibes"/>
    <s v="Before"/>
    <n v="9.6766666467647173"/>
    <n v="9.2760117219107165"/>
    <n v="8.2760117219107165"/>
    <n v="8.7837491674778416"/>
  </r>
  <r>
    <x v="233"/>
    <x v="1"/>
    <d v="2024-02-02T00:00:00"/>
    <x v="0"/>
    <x v="8"/>
    <n v="3818"/>
    <n v="115"/>
    <n v="286"/>
    <n v="25127"/>
    <n v="22277"/>
    <n v="263"/>
    <x v="3"/>
    <x v="1"/>
    <s v="ChillVibes"/>
    <s v="Before"/>
    <n v="9.6915486047528319"/>
    <n v="9.0014452430042411"/>
    <n v="8.0014452430042411"/>
    <n v="17.837386078720101"/>
  </r>
  <r>
    <x v="234"/>
    <x v="2"/>
    <d v="2024-09-07T00:00:00"/>
    <x v="0"/>
    <x v="9"/>
    <n v="2101"/>
    <n v="411"/>
    <n v="190"/>
    <n v="41791"/>
    <n v="57090"/>
    <n v="172"/>
    <x v="1"/>
    <x v="2"/>
    <s v="IndieWave"/>
    <s v="Before"/>
    <n v="9.5534835628211816"/>
    <n v="12.329657364590176"/>
    <n v="11.329657364590176"/>
    <n v="6.8770787968701397"/>
  </r>
  <r>
    <x v="235"/>
    <x v="0"/>
    <d v="2024-12-20T00:00:00"/>
    <x v="0"/>
    <x v="0"/>
    <n v="2519"/>
    <n v="202"/>
    <n v="239"/>
    <n v="36245"/>
    <n v="48606"/>
    <n v="145"/>
    <x v="1"/>
    <x v="1"/>
    <s v="IndieWave"/>
    <s v="Before"/>
    <n v="9.5996284725789582"/>
    <n v="10.019513076802799"/>
    <n v="9.0195130768027987"/>
    <n v="8.5666988550144847"/>
  </r>
  <r>
    <x v="236"/>
    <x v="2"/>
    <d v="2024-01-14T00:00:00"/>
    <x v="0"/>
    <x v="5"/>
    <n v="4502"/>
    <n v="238"/>
    <n v="386"/>
    <n v="39198"/>
    <n v="25050"/>
    <n v="297"/>
    <x v="1"/>
    <x v="2"/>
    <s v="IndieWave"/>
    <s v="Before"/>
    <n v="9.6177500448169315"/>
    <n v="6.965763900212762"/>
    <n v="5.965763900212762"/>
    <n v="13.834889535180366"/>
  </r>
  <r>
    <x v="237"/>
    <x v="0"/>
    <d v="2025-06-15T00:00:00"/>
    <x v="0"/>
    <x v="1"/>
    <n v="2478"/>
    <n v="427"/>
    <n v="242"/>
    <n v="59272"/>
    <n v="37833"/>
    <n v="214"/>
    <x v="0"/>
    <x v="0"/>
    <s v="ChillVibes"/>
    <s v="Before"/>
    <n v="9.542443982489015"/>
    <n v="6.8049057969385913"/>
    <n v="5.8049057969385913"/>
    <n v="5.6704683493048993"/>
  </r>
  <r>
    <x v="238"/>
    <x v="1"/>
    <d v="2024-12-13T00:00:00"/>
    <x v="1"/>
    <x v="2"/>
    <n v="4984"/>
    <n v="300"/>
    <n v="338"/>
    <n v="32900"/>
    <n v="31691"/>
    <n v="160"/>
    <x v="2"/>
    <x v="0"/>
    <s v="ChillVibes"/>
    <s v="Before"/>
    <n v="9.6128435394559961"/>
    <n v="7.4123670956415495"/>
    <n v="6.4123670956415495"/>
    <n v="17.574468085106382"/>
  </r>
  <r>
    <x v="239"/>
    <x v="2"/>
    <d v="2024-08-29T00:00:00"/>
    <x v="0"/>
    <x v="3"/>
    <n v="4774"/>
    <n v="389"/>
    <n v="358"/>
    <n v="52346"/>
    <n v="30518"/>
    <n v="277"/>
    <x v="1"/>
    <x v="2"/>
    <s v="IndieWave"/>
    <s v="Before"/>
    <n v="9.4654060478698803"/>
    <n v="6.8856295608498703"/>
    <n v="5.8856295608498703"/>
    <n v="11.076300003820732"/>
  </r>
  <r>
    <x v="240"/>
    <x v="1"/>
    <d v="2024-09-15T00:00:00"/>
    <x v="0"/>
    <x v="6"/>
    <n v="2145"/>
    <n v="340"/>
    <n v="85"/>
    <n v="53323"/>
    <n v="49938"/>
    <n v="104"/>
    <x v="3"/>
    <x v="1"/>
    <s v="ChillVibes"/>
    <s v="Before"/>
    <n v="9.4350118222859027"/>
    <n v="6.7994123715167909"/>
    <n v="5.7994123715167909"/>
    <n v="5.0147216023104475"/>
  </r>
  <r>
    <x v="241"/>
    <x v="1"/>
    <d v="2025-04-12T00:00:00"/>
    <x v="1"/>
    <x v="8"/>
    <n v="4315"/>
    <n v="208"/>
    <n v="273"/>
    <n v="35780"/>
    <n v="44349"/>
    <n v="133"/>
    <x v="1"/>
    <x v="3"/>
    <s v="ChillVibes"/>
    <s v="Before"/>
    <n v="9.5200174034392759"/>
    <n v="9.3015467570861734"/>
    <n v="8.3015467570861734"/>
    <n v="13.775852431525992"/>
  </r>
  <r>
    <x v="242"/>
    <x v="1"/>
    <d v="2024-12-10T00:00:00"/>
    <x v="1"/>
    <x v="3"/>
    <n v="2267"/>
    <n v="230"/>
    <n v="243"/>
    <n v="27904"/>
    <n v="69771"/>
    <n v="255"/>
    <x v="1"/>
    <x v="3"/>
    <s v="ChillVibes"/>
    <s v="Before"/>
    <n v="9.4365696577905176"/>
    <n v="9.5879331298330879"/>
    <n v="8.5879331298330879"/>
    <n v="10.733228211009175"/>
  </r>
  <r>
    <x v="243"/>
    <x v="2"/>
    <d v="2025-06-08T00:00:00"/>
    <x v="0"/>
    <x v="4"/>
    <n v="4375"/>
    <n v="303"/>
    <n v="294"/>
    <n v="57468"/>
    <n v="53397"/>
    <n v="159"/>
    <x v="1"/>
    <x v="2"/>
    <s v="IndieWave"/>
    <s v="Before"/>
    <n v="9.4106364867261441"/>
    <n v="9.7093452419268242"/>
    <n v="8.7093452419268242"/>
    <n v="8.9284471357973132"/>
  </r>
  <r>
    <x v="244"/>
    <x v="1"/>
    <d v="2025-01-09T00:00:00"/>
    <x v="1"/>
    <x v="9"/>
    <n v="3817"/>
    <n v="284"/>
    <n v="204"/>
    <n v="46434"/>
    <n v="53396"/>
    <n v="104"/>
    <x v="2"/>
    <x v="0"/>
    <s v="ChillVibes"/>
    <s v="Before"/>
    <n v="9.4204770857246931"/>
    <n v="7.5025547387732949"/>
    <n v="6.5025547387732949"/>
    <n v="9.4951974846017997"/>
  </r>
  <r>
    <x v="245"/>
    <x v="1"/>
    <d v="2024-07-08T00:00:00"/>
    <x v="1"/>
    <x v="7"/>
    <n v="2981"/>
    <n v="258"/>
    <n v="168"/>
    <n v="20677"/>
    <n v="68290"/>
    <n v="130"/>
    <x v="0"/>
    <x v="0"/>
    <s v="ChillVibes"/>
    <s v="During"/>
    <n v="9.4189204107480862"/>
    <n v="10.567438536834086"/>
    <n v="9.5674385368340857"/>
    <n v="17.105963147458528"/>
  </r>
  <r>
    <x v="246"/>
    <x v="1"/>
    <d v="2024-09-16T00:00:00"/>
    <x v="1"/>
    <x v="9"/>
    <n v="3300"/>
    <n v="354"/>
    <n v="397"/>
    <n v="56773"/>
    <n v="72110"/>
    <n v="163"/>
    <x v="1"/>
    <x v="3"/>
    <s v="ChillVibes"/>
    <s v="Before"/>
    <n v="9.4189204107480862"/>
    <n v="9.4517745437762173"/>
    <n v="8.4517745437762173"/>
    <n v="7.4225424057210292"/>
  </r>
  <r>
    <x v="247"/>
    <x v="2"/>
    <d v="2024-06-14T00:00:00"/>
    <x v="2"/>
    <x v="3"/>
    <n v="4722"/>
    <n v="310"/>
    <n v="344"/>
    <n v="27911"/>
    <n v="19000"/>
    <n v="225"/>
    <x v="1"/>
    <x v="4"/>
    <s v="SummerBeats"/>
    <s v="Before"/>
    <n v="9.4613965385146201"/>
    <n v="10.802072136872509"/>
    <n v="9.8020721368725088"/>
    <n v="20.067356956038836"/>
  </r>
  <r>
    <x v="248"/>
    <x v="0"/>
    <d v="2024-03-06T00:00:00"/>
    <x v="0"/>
    <x v="5"/>
    <n v="3529"/>
    <n v="263"/>
    <n v="107"/>
    <n v="26570"/>
    <n v="19367"/>
    <n v="96"/>
    <x v="1"/>
    <x v="1"/>
    <s v="IndieWave"/>
    <s v="Before"/>
    <n v="9.2308321816119197"/>
    <n v="6.2067643684000737"/>
    <n v="5.2067643684000737"/>
    <n v="15.035754610462929"/>
  </r>
  <r>
    <x v="249"/>
    <x v="1"/>
    <d v="2025-05-15T00:00:00"/>
    <x v="0"/>
    <x v="9"/>
    <n v="4782"/>
    <n v="210"/>
    <n v="311"/>
    <n v="29793"/>
    <n v="37543"/>
    <n v="145"/>
    <x v="3"/>
    <x v="1"/>
    <s v="ChillVibes"/>
    <s v="Before"/>
    <n v="9.10183390541523"/>
    <n v="6.8758199753850429"/>
    <n v="5.8758199753850429"/>
    <n v="18.286174604772935"/>
  </r>
  <r>
    <x v="250"/>
    <x v="1"/>
    <d v="2024-07-07T00:00:00"/>
    <x v="0"/>
    <x v="5"/>
    <n v="1848"/>
    <n v="417"/>
    <n v="294"/>
    <n v="57819"/>
    <n v="19798"/>
    <n v="262"/>
    <x v="0"/>
    <x v="1"/>
    <s v="IndieWave"/>
    <s v="During"/>
    <n v="8.8930988895207363"/>
    <n v="8.3985658340800651"/>
    <n v="7.3985658340800651"/>
    <n v="4.8790190075926594"/>
  </r>
  <r>
    <x v="251"/>
    <x v="2"/>
    <d v="2024-10-26T00:00:00"/>
    <x v="0"/>
    <x v="2"/>
    <n v="4676"/>
    <n v="211"/>
    <n v="55"/>
    <n v="45917"/>
    <n v="73503"/>
    <n v="248"/>
    <x v="1"/>
    <x v="2"/>
    <s v="IndieWave"/>
    <s v="Before"/>
    <n v="8.8930988895207363"/>
    <n v="10.665019113668016"/>
    <n v="9.6650191136680164"/>
    <n v="11.303003244985517"/>
  </r>
  <r>
    <x v="252"/>
    <x v="2"/>
    <d v="2024-08-08T00:00:00"/>
    <x v="0"/>
    <x v="8"/>
    <n v="1994"/>
    <n v="197"/>
    <n v="290"/>
    <n v="49500"/>
    <n v="23343"/>
    <n v="160"/>
    <x v="1"/>
    <x v="2"/>
    <s v="IndieWave"/>
    <s v="Before"/>
    <n v="8.837054602184347"/>
    <n v="9.1398176266252538"/>
    <n v="8.1398176266252538"/>
    <n v="5.3353535353535353"/>
  </r>
  <r>
    <x v="253"/>
    <x v="1"/>
    <d v="2025-02-03T00:00:00"/>
    <x v="0"/>
    <x v="5"/>
    <n v="4995"/>
    <n v="231"/>
    <n v="94"/>
    <n v="34431"/>
    <n v="32560"/>
    <n v="262"/>
    <x v="3"/>
    <x v="1"/>
    <s v="ChillVibes"/>
    <s v="Before"/>
    <n v="8.9204284371088907"/>
    <n v="6.2861814483199945"/>
    <n v="5.2861814483199945"/>
    <n v="16.212134413755049"/>
  </r>
  <r>
    <x v="254"/>
    <x v="1"/>
    <d v="2024-04-03T00:00:00"/>
    <x v="1"/>
    <x v="7"/>
    <n v="2291"/>
    <n v="146"/>
    <n v="399"/>
    <n v="49319"/>
    <n v="28056"/>
    <n v="90"/>
    <x v="1"/>
    <x v="3"/>
    <s v="ChillVibes"/>
    <s v="Before"/>
    <n v="8.7425819498736193"/>
    <n v="6.3514532698019615"/>
    <n v="5.3514532698019615"/>
    <n v="5.9328048013950001"/>
  </r>
  <r>
    <x v="255"/>
    <x v="1"/>
    <d v="2024-07-08T00:00:00"/>
    <x v="1"/>
    <x v="3"/>
    <n v="2304"/>
    <n v="289"/>
    <n v="161"/>
    <n v="52645"/>
    <n v="66262"/>
    <n v="146"/>
    <x v="2"/>
    <x v="0"/>
    <s v="ChillVibes"/>
    <s v="During"/>
    <n v="8.8128263785855836"/>
    <n v="7.8339342921900794"/>
    <n v="6.8339342921900794"/>
    <n v="5.5085953081964103"/>
  </r>
  <r>
    <x v="256"/>
    <x v="1"/>
    <d v="2024-06-08T00:00:00"/>
    <x v="1"/>
    <x v="7"/>
    <n v="3413"/>
    <n v="326"/>
    <n v="86"/>
    <n v="44680"/>
    <n v="52719"/>
    <n v="272"/>
    <x v="1"/>
    <x v="3"/>
    <s v="ChillVibes"/>
    <s v="Before"/>
    <n v="8.8128263785855836"/>
    <n v="7.9422521402357882"/>
    <n v="6.9422521402357882"/>
    <n v="9.1696508504923901"/>
  </r>
  <r>
    <x v="257"/>
    <x v="2"/>
    <d v="2025-03-20T00:00:00"/>
    <x v="2"/>
    <x v="8"/>
    <n v="1453"/>
    <n v="156"/>
    <n v="178"/>
    <n v="52980"/>
    <n v="57180"/>
    <n v="286"/>
    <x v="1"/>
    <x v="4"/>
    <s v="SummerBeats"/>
    <s v="Before"/>
    <n v="8.8036770331520771"/>
    <n v="7.6281434413974116"/>
    <n v="6.6281434413974116"/>
    <n v="3.9127972819932051"/>
  </r>
  <r>
    <x v="258"/>
    <x v="1"/>
    <d v="2025-01-19T00:00:00"/>
    <x v="1"/>
    <x v="4"/>
    <n v="1651"/>
    <n v="480"/>
    <n v="282"/>
    <n v="32140"/>
    <n v="70560"/>
    <n v="138"/>
    <x v="0"/>
    <x v="0"/>
    <s v="ChillVibes"/>
    <s v="Before"/>
    <n v="8.9323843950246786"/>
    <n v="8.0466802620141173"/>
    <n v="7.0466802620141173"/>
    <n v="7.9371499688861231"/>
  </r>
  <r>
    <x v="259"/>
    <x v="1"/>
    <d v="2025-01-05T00:00:00"/>
    <x v="1"/>
    <x v="1"/>
    <n v="3341"/>
    <n v="154"/>
    <n v="123"/>
    <n v="43369"/>
    <n v="49035"/>
    <n v="128"/>
    <x v="2"/>
    <x v="0"/>
    <s v="ChillVibes"/>
    <s v="Before"/>
    <n v="8.9592826227581543"/>
    <n v="14.196186797428886"/>
    <n v="13.196186797428886"/>
    <n v="8.6375060527104619"/>
  </r>
  <r>
    <x v="260"/>
    <x v="1"/>
    <d v="2024-11-16T00:00:00"/>
    <x v="0"/>
    <x v="8"/>
    <n v="2972"/>
    <n v="263"/>
    <n v="308"/>
    <n v="51740"/>
    <n v="28214"/>
    <n v="190"/>
    <x v="0"/>
    <x v="1"/>
    <s v="IndieWave"/>
    <s v="Before"/>
    <n v="8.968220860815034"/>
    <n v="16.561239103745251"/>
    <n v="15.561239103745251"/>
    <n v="7.2149207576343262"/>
  </r>
  <r>
    <x v="261"/>
    <x v="1"/>
    <d v="2024-11-30T00:00:00"/>
    <x v="1"/>
    <x v="1"/>
    <n v="4963"/>
    <n v="255"/>
    <n v="193"/>
    <n v="44386"/>
    <n v="28415"/>
    <n v="174"/>
    <x v="2"/>
    <x v="0"/>
    <s v="ChillVibes"/>
    <s v="Before"/>
    <n v="9.0183151494773384"/>
    <n v="11.007576921207857"/>
    <n v="10.007576921207857"/>
    <n v="12.582796377236066"/>
  </r>
  <r>
    <x v="262"/>
    <x v="2"/>
    <d v="2024-03-27T00:00:00"/>
    <x v="0"/>
    <x v="4"/>
    <n v="2399"/>
    <n v="191"/>
    <n v="221"/>
    <n v="51603"/>
    <n v="40033"/>
    <n v="173"/>
    <x v="1"/>
    <x v="2"/>
    <s v="IndieWave"/>
    <s v="Before"/>
    <n v="8.9134774663079632"/>
    <n v="8.0568566280385845"/>
    <n v="7.0568566280385845"/>
    <n v="5.7826095382051435"/>
  </r>
  <r>
    <x v="263"/>
    <x v="2"/>
    <d v="2025-05-31T00:00:00"/>
    <x v="2"/>
    <x v="6"/>
    <n v="2162"/>
    <n v="318"/>
    <n v="83"/>
    <n v="46719"/>
    <n v="20482"/>
    <n v="185"/>
    <x v="1"/>
    <x v="4"/>
    <s v="SummerBeats"/>
    <s v="Before"/>
    <n v="9.0083522520080486"/>
    <n v="7.4455621932830134"/>
    <n v="6.4455621932830134"/>
    <n v="5.8819752135105627"/>
  </r>
  <r>
    <x v="264"/>
    <x v="1"/>
    <d v="2025-06-17T00:00:00"/>
    <x v="1"/>
    <x v="1"/>
    <n v="4341"/>
    <n v="141"/>
    <n v="63"/>
    <n v="50081"/>
    <n v="27507"/>
    <n v="221"/>
    <x v="1"/>
    <x v="3"/>
    <s v="ChillVibes"/>
    <s v="Before"/>
    <n v="9.1060515344610966"/>
    <n v="8.9807972930546676"/>
    <n v="7.9807972930546676"/>
    <n v="9.516583135320781"/>
  </r>
  <r>
    <x v="265"/>
    <x v="0"/>
    <d v="2024-05-30T00:00:00"/>
    <x v="1"/>
    <x v="6"/>
    <n v="2448"/>
    <n v="464"/>
    <n v="98"/>
    <n v="25737"/>
    <n v="48545"/>
    <n v="246"/>
    <x v="3"/>
    <x v="1"/>
    <s v="Wrapped2024"/>
    <s v="Before"/>
    <n v="9.0928085795946547"/>
    <n v="6.3152612623120339"/>
    <n v="5.3152612623120339"/>
    <n v="12.651047130590202"/>
  </r>
  <r>
    <x v="266"/>
    <x v="2"/>
    <d v="2024-11-08T00:00:00"/>
    <x v="0"/>
    <x v="7"/>
    <n v="2471"/>
    <n v="166"/>
    <n v="320"/>
    <n v="48254"/>
    <n v="46900"/>
    <n v="111"/>
    <x v="1"/>
    <x v="2"/>
    <s v="IndieWave"/>
    <s v="Before"/>
    <n v="8.9742006278948008"/>
    <n v="7.9378972769337608"/>
    <n v="6.9378972769337608"/>
    <n v="6.3580221328801754"/>
  </r>
  <r>
    <x v="267"/>
    <x v="2"/>
    <d v="2024-03-17T00:00:00"/>
    <x v="2"/>
    <x v="1"/>
    <n v="2692"/>
    <n v="446"/>
    <n v="216"/>
    <n v="45818"/>
    <n v="62723"/>
    <n v="85"/>
    <x v="1"/>
    <x v="4"/>
    <s v="SummerBeats"/>
    <s v="Before"/>
    <n v="9.0644136794470302"/>
    <n v="10.509147857771303"/>
    <n v="9.5091478577713033"/>
    <n v="7.5057837531101317"/>
  </r>
  <r>
    <x v="268"/>
    <x v="2"/>
    <d v="2024-06-21T00:00:00"/>
    <x v="2"/>
    <x v="4"/>
    <n v="4621"/>
    <n v="374"/>
    <n v="298"/>
    <n v="56979"/>
    <n v="24098"/>
    <n v="205"/>
    <x v="1"/>
    <x v="4"/>
    <s v="SummerBeats"/>
    <s v="During"/>
    <n v="9.1200790339590618"/>
    <n v="9.8643560324840678"/>
    <n v="8.8643560324840678"/>
    <n v="9.6491689920848032"/>
  </r>
  <r>
    <x v="269"/>
    <x v="1"/>
    <d v="2024-11-13T00:00:00"/>
    <x v="1"/>
    <x v="2"/>
    <n v="1409"/>
    <n v="466"/>
    <n v="105"/>
    <n v="58923"/>
    <n v="38753"/>
    <n v="265"/>
    <x v="1"/>
    <x v="3"/>
    <s v="ChillVibes"/>
    <s v="Before"/>
    <n v="9.1200790339590618"/>
    <n v="10.802854637471722"/>
    <n v="9.8028546374717216"/>
    <n v="3.8100571932861529"/>
  </r>
  <r>
    <x v="270"/>
    <x v="1"/>
    <d v="2025-02-05T00:00:00"/>
    <x v="1"/>
    <x v="0"/>
    <n v="3029"/>
    <n v="440"/>
    <n v="66"/>
    <n v="23815"/>
    <n v="47895"/>
    <n v="210"/>
    <x v="1"/>
    <x v="3"/>
    <s v="ChillVibes"/>
    <s v="Before"/>
    <n v="9.3167465095395414"/>
    <n v="13.573418363137545"/>
    <n v="12.573418363137545"/>
    <n v="15.725383161872768"/>
  </r>
  <r>
    <x v="271"/>
    <x v="1"/>
    <d v="2024-11-07T00:00:00"/>
    <x v="0"/>
    <x v="1"/>
    <n v="2229"/>
    <n v="395"/>
    <n v="328"/>
    <n v="56921"/>
    <n v="37176"/>
    <n v="126"/>
    <x v="0"/>
    <x v="1"/>
    <s v="IndieWave"/>
    <s v="Before"/>
    <n v="9.0702604844498005"/>
    <n v="11.245725313544291"/>
    <n v="10.245725313544291"/>
    <n v="5.4074945977758651"/>
  </r>
  <r>
    <x v="272"/>
    <x v="1"/>
    <d v="2024-02-12T00:00:00"/>
    <x v="0"/>
    <x v="1"/>
    <n v="2691"/>
    <n v="486"/>
    <n v="206"/>
    <n v="51133"/>
    <n v="44583"/>
    <n v="276"/>
    <x v="3"/>
    <x v="1"/>
    <s v="ChillVibes"/>
    <s v="Before"/>
    <n v="9.2167711199167588"/>
    <n v="9.7924202562824085"/>
    <n v="8.7924202562824085"/>
    <n v="7.1558484735884846"/>
  </r>
  <r>
    <x v="273"/>
    <x v="0"/>
    <d v="2024-10-08T00:00:00"/>
    <x v="0"/>
    <x v="1"/>
    <n v="2110"/>
    <n v="384"/>
    <n v="236"/>
    <n v="49965"/>
    <n v="61555"/>
    <n v="195"/>
    <x v="1"/>
    <x v="1"/>
    <s v="IndieWave"/>
    <s v="Before"/>
    <n v="9.3026428968471038"/>
    <n v="9.076817183178532"/>
    <n v="8.076817183178532"/>
    <n v="5.8540978685079557"/>
  </r>
  <r>
    <x v="274"/>
    <x v="0"/>
    <d v="2024-02-19T00:00:00"/>
    <x v="0"/>
    <x v="3"/>
    <n v="4752"/>
    <n v="449"/>
    <n v="309"/>
    <n v="58530"/>
    <n v="26630"/>
    <n v="234"/>
    <x v="1"/>
    <x v="1"/>
    <s v="IndieWave"/>
    <s v="Before"/>
    <n v="9.4525796372096735"/>
    <n v="4.1144972000850561"/>
    <n v="3.1144972000850561"/>
    <n v="9.8137707158722023"/>
  </r>
  <r>
    <x v="275"/>
    <x v="1"/>
    <d v="2025-03-04T00:00:00"/>
    <x v="0"/>
    <x v="0"/>
    <n v="2177"/>
    <n v="258"/>
    <n v="292"/>
    <n v="47276"/>
    <n v="51324"/>
    <n v="143"/>
    <x v="3"/>
    <x v="1"/>
    <s v="ChillVibes"/>
    <s v="Before"/>
    <n v="9.4361618609068323"/>
    <n v="7.6044892489147191"/>
    <n v="6.6044892489147191"/>
    <n v="6.0707335645993741"/>
  </r>
  <r>
    <x v="276"/>
    <x v="0"/>
    <d v="2025-02-03T00:00:00"/>
    <x v="1"/>
    <x v="2"/>
    <n v="1205"/>
    <n v="486"/>
    <n v="269"/>
    <n v="23341"/>
    <n v="42411"/>
    <n v="184"/>
    <x v="3"/>
    <x v="1"/>
    <s v="Wrapped2024"/>
    <s v="Before"/>
    <n v="9.5964203512071862"/>
    <n v="12.098044151357186"/>
    <n v="11.098044151357186"/>
    <n v="9.1855533181954492"/>
  </r>
  <r>
    <x v="277"/>
    <x v="0"/>
    <d v="2024-12-02T00:00:00"/>
    <x v="0"/>
    <x v="7"/>
    <n v="3194"/>
    <n v="292"/>
    <n v="245"/>
    <n v="56371"/>
    <n v="65597"/>
    <n v="163"/>
    <x v="0"/>
    <x v="0"/>
    <s v="ChillVibes"/>
    <s v="Before"/>
    <n v="9.6169637028577739"/>
    <n v="9.3730960530361287"/>
    <n v="8.3730960530361287"/>
    <n v="6.9078072058327864"/>
  </r>
  <r>
    <x v="278"/>
    <x v="1"/>
    <d v="2025-01-19T00:00:00"/>
    <x v="1"/>
    <x v="2"/>
    <n v="3507"/>
    <n v="295"/>
    <n v="371"/>
    <n v="20410"/>
    <n v="53965"/>
    <n v="212"/>
    <x v="0"/>
    <x v="0"/>
    <s v="ChillVibes"/>
    <s v="Before"/>
    <n v="9.75955088691172"/>
    <n v="6.2908881969113803"/>
    <n v="5.2908881969113803"/>
    <n v="21.484566389024987"/>
  </r>
  <r>
    <x v="279"/>
    <x v="1"/>
    <d v="2024-09-28T00:00:00"/>
    <x v="1"/>
    <x v="3"/>
    <n v="4471"/>
    <n v="317"/>
    <n v="249"/>
    <n v="44862"/>
    <n v="33365"/>
    <n v="184"/>
    <x v="1"/>
    <x v="3"/>
    <s v="ChillVibes"/>
    <s v="Before"/>
    <n v="9.1081611367943172"/>
    <n v="6.1698073704525385"/>
    <n v="5.1698073704525385"/>
    <n v="11.637911818465517"/>
  </r>
  <r>
    <x v="280"/>
    <x v="0"/>
    <d v="2024-01-07T00:00:00"/>
    <x v="0"/>
    <x v="7"/>
    <n v="4931"/>
    <n v="469"/>
    <n v="193"/>
    <n v="56701"/>
    <n v="69437"/>
    <n v="291"/>
    <x v="0"/>
    <x v="0"/>
    <s v="ChillVibes"/>
    <s v="Before"/>
    <n v="8.9593522731666013"/>
    <n v="6.0444134673094423"/>
    <n v="5.0444134673094423"/>
    <n v="10.377242023950195"/>
  </r>
  <r>
    <x v="281"/>
    <x v="1"/>
    <d v="2024-02-21T00:00:00"/>
    <x v="1"/>
    <x v="6"/>
    <n v="2604"/>
    <n v="439"/>
    <n v="148"/>
    <n v="58468"/>
    <n v="39629"/>
    <n v="163"/>
    <x v="2"/>
    <x v="0"/>
    <s v="ChillVibes"/>
    <s v="Before"/>
    <n v="8.8707341637426271"/>
    <e v="#DIV/0!"/>
    <e v="#DIV/0!"/>
    <n v="5.7364712321269753"/>
  </r>
  <r>
    <x v="282"/>
    <x v="0"/>
    <d v="2024-08-27T00:00:00"/>
    <x v="0"/>
    <x v="4"/>
    <n v="4197"/>
    <n v="359"/>
    <n v="280"/>
    <n v="56048"/>
    <n v="70930"/>
    <n v="295"/>
    <x v="1"/>
    <x v="1"/>
    <s v="IndieWave"/>
    <s v="Before"/>
    <n v="9.0796850258503365"/>
    <e v="#DIV/0!"/>
    <e v="#DIV/0!"/>
    <n v="9.1546531544390515"/>
  </r>
  <r>
    <x v="283"/>
    <x v="0"/>
    <d v="2024-10-24T00:00:00"/>
    <x v="1"/>
    <x v="7"/>
    <n v="1914"/>
    <n v="255"/>
    <n v="156"/>
    <n v="27660"/>
    <n v="47776"/>
    <n v="111"/>
    <x v="3"/>
    <x v="1"/>
    <s v="Wrapped2024"/>
    <s v="Before"/>
    <n v="9.0743301595225709"/>
    <e v="#DIV/0!"/>
    <e v="#DIV/0!"/>
    <n v="8.8069414316702819"/>
  </r>
  <r>
    <x v="284"/>
    <x v="2"/>
    <d v="2025-01-29T00:00:00"/>
    <x v="0"/>
    <x v="2"/>
    <n v="1334"/>
    <n v="357"/>
    <n v="257"/>
    <n v="56910"/>
    <n v="70606"/>
    <n v="228"/>
    <x v="1"/>
    <x v="2"/>
    <s v="IndieWave"/>
    <s v="Before"/>
    <n v="9.0948985232035167"/>
    <e v="#DIV/0!"/>
    <e v="#DIV/0!"/>
    <n v="3.8235810929537863"/>
  </r>
  <r>
    <x v="285"/>
    <x v="0"/>
    <d v="2024-05-01T00:00:00"/>
    <x v="0"/>
    <x v="6"/>
    <n v="3359"/>
    <n v="137"/>
    <n v="387"/>
    <n v="33861"/>
    <n v="47257"/>
    <n v="198"/>
    <x v="1"/>
    <x v="1"/>
    <s v="IndieWave"/>
    <s v="Before"/>
    <n v="9.5341749757243281"/>
    <e v="#DIV/0!"/>
    <e v="#DIV/0!"/>
    <n v="12.052213460913736"/>
  </r>
  <r>
    <x v="286"/>
    <x v="2"/>
    <d v="2024-06-25T00:00:00"/>
    <x v="0"/>
    <x v="9"/>
    <n v="2172"/>
    <n v="338"/>
    <n v="70"/>
    <n v="30515"/>
    <n v="57853"/>
    <n v="156"/>
    <x v="1"/>
    <x v="2"/>
    <s v="IndieWave"/>
    <s v="During"/>
    <n v="9.3052623861616546"/>
    <e v="#DIV/0!"/>
    <e v="#DIV/0!"/>
    <n v="8.966082254628871"/>
  </r>
  <r>
    <x v="287"/>
    <x v="1"/>
    <d v="2024-08-09T00:00:00"/>
    <x v="1"/>
    <x v="8"/>
    <n v="4877"/>
    <n v="442"/>
    <n v="236"/>
    <n v="52673"/>
    <n v="48241"/>
    <n v="114"/>
    <x v="1"/>
    <x v="3"/>
    <s v="ChillVibes"/>
    <s v="Before"/>
    <n v="9.3052623861616546"/>
    <e v="#DIV/0!"/>
    <e v="#DIV/0!"/>
    <n v="10.762629810339263"/>
  </r>
  <r>
    <x v="288"/>
    <x v="0"/>
    <d v="2025-01-21T00:00:00"/>
    <x v="1"/>
    <x v="2"/>
    <n v="4918"/>
    <n v="440"/>
    <n v="149"/>
    <n v="53269"/>
    <n v="64370"/>
    <n v="269"/>
    <x v="3"/>
    <x v="1"/>
    <s v="Wrapped2024"/>
    <s v="Before"/>
    <n v="9.1595256437438923"/>
    <e v="#DIV/0!"/>
    <e v="#DIV/0!"/>
    <n v="10.843079464604179"/>
  </r>
  <r>
    <x v="289"/>
    <x v="1"/>
    <d v="2024-08-13T00:00:00"/>
    <x v="0"/>
    <x v="1"/>
    <n v="3418"/>
    <n v="107"/>
    <n v="221"/>
    <n v="23927"/>
    <n v="26182"/>
    <n v="155"/>
    <x v="0"/>
    <x v="1"/>
    <s v="IndieWave"/>
    <s v="Before"/>
    <n v="8.9724641080927512"/>
    <e v="#DIV/0!"/>
    <e v="#DIV/0!"/>
    <n v="16.303757261670913"/>
  </r>
  <r>
    <x v="290"/>
    <x v="0"/>
    <d v="2024-06-29T00:00:00"/>
    <x v="0"/>
    <x v="9"/>
    <n v="2088"/>
    <n v="490"/>
    <n v="124"/>
    <n v="46544"/>
    <n v="69346"/>
    <n v="178"/>
    <x v="0"/>
    <x v="0"/>
    <s v="ChillVibes"/>
    <s v="During"/>
    <n v="8.0560524638954796"/>
    <e v="#DIV/0!"/>
    <e v="#DIV/0!"/>
    <n v="6.1876933654176698"/>
  </r>
  <r>
    <x v="291"/>
    <x v="1"/>
    <d v="2024-11-03T00:00:00"/>
    <x v="1"/>
    <x v="1"/>
    <n v="3061"/>
    <n v="320"/>
    <n v="76"/>
    <n v="26640"/>
    <n v="24306"/>
    <n v="112"/>
    <x v="2"/>
    <x v="0"/>
    <s v="ChillVibes"/>
    <s v="Before"/>
    <n v="8.0560524638954796"/>
    <e v="#DIV/0!"/>
    <e v="#DIV/0!"/>
    <n v="13.397147147147148"/>
  </r>
  <r>
    <x v="292"/>
    <x v="2"/>
    <d v="2025-04-18T00:00:00"/>
    <x v="2"/>
    <x v="9"/>
    <n v="1265"/>
    <n v="230"/>
    <n v="364"/>
    <n v="41312"/>
    <n v="50382"/>
    <n v="106"/>
    <x v="1"/>
    <x v="4"/>
    <s v="SummerBeats"/>
    <s v="Before"/>
    <n v="7.2930389377166689"/>
    <e v="#DIV/0!"/>
    <e v="#DIV/0!"/>
    <n v="4.756487219209915"/>
  </r>
  <r>
    <x v="293"/>
    <x v="0"/>
    <d v="2024-12-27T00:00:00"/>
    <x v="0"/>
    <x v="8"/>
    <n v="1436"/>
    <n v="219"/>
    <n v="229"/>
    <n v="58488"/>
    <n v="24314"/>
    <n v="147"/>
    <x v="1"/>
    <x v="1"/>
    <s v="IndieWave"/>
    <s v="Before"/>
    <n v="7.7157975574677948"/>
    <e v="#DIV/0!"/>
    <e v="#DIV/0!"/>
    <n v="3.4725071809601973"/>
  </r>
  <r>
    <x v="294"/>
    <x v="0"/>
    <d v="2025-03-08T00:00:00"/>
    <x v="1"/>
    <x v="7"/>
    <n v="2244"/>
    <n v="392"/>
    <n v="231"/>
    <n v="25834"/>
    <n v="50906"/>
    <n v="165"/>
    <x v="3"/>
    <x v="1"/>
    <s v="Wrapped2024"/>
    <s v="Before"/>
    <n v="8.5644556327693149"/>
    <e v="#DIV/0!"/>
    <e v="#DIV/0!"/>
    <n v="11.736471316869242"/>
  </r>
  <r>
    <x v="295"/>
    <x v="1"/>
    <d v="2025-03-20T00:00:00"/>
    <x v="1"/>
    <x v="9"/>
    <n v="3393"/>
    <n v="104"/>
    <n v="79"/>
    <n v="30025"/>
    <n v="21593"/>
    <n v="165"/>
    <x v="2"/>
    <x v="0"/>
    <s v="ChillVibes"/>
    <s v="Before"/>
    <n v="7.7714517117443336"/>
    <e v="#DIV/0!"/>
    <e v="#DIV/0!"/>
    <n v="12.459616985845129"/>
  </r>
  <r>
    <x v="296"/>
    <x v="1"/>
    <d v="2024-11-16T00:00:00"/>
    <x v="0"/>
    <x v="1"/>
    <n v="2901"/>
    <n v="108"/>
    <n v="86"/>
    <n v="51777"/>
    <n v="23773"/>
    <n v="160"/>
    <x v="0"/>
    <x v="1"/>
    <s v="IndieWave"/>
    <s v="Before"/>
    <n v="6.2087299537107343"/>
    <e v="#DIV/0!"/>
    <e v="#DIV/0!"/>
    <n v="6.2865751202271278"/>
  </r>
  <r>
    <x v="297"/>
    <x v="1"/>
    <d v="2025-06-30T00:00:00"/>
    <x v="0"/>
    <x v="5"/>
    <n v="2275"/>
    <n v="285"/>
    <n v="125"/>
    <n v="43970"/>
    <n v="74761"/>
    <n v="83"/>
    <x v="3"/>
    <x v="1"/>
    <s v="ChillVibes"/>
    <s v="Before"/>
    <n v="6.1698073704525385"/>
    <e v="#DIV/0!"/>
    <e v="#DIV/0!"/>
    <n v="6.2952012735956338"/>
  </r>
  <r>
    <x v="298"/>
    <x v="1"/>
    <d v="2024-01-12T00:00:00"/>
    <x v="1"/>
    <x v="3"/>
    <n v="2227"/>
    <n v="494"/>
    <n v="161"/>
    <n v="51651"/>
    <n v="68074"/>
    <n v="240"/>
    <x v="1"/>
    <x v="3"/>
    <s v="ChillVibes"/>
    <s v="Before"/>
    <n v="6.0444134673094423"/>
    <e v="#DIV/0!"/>
    <e v="#DIV/0!"/>
    <n v="6.04441346730944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n v="2414"/>
    <n v="245"/>
    <n v="137"/>
    <n v="21181"/>
    <n v="45292"/>
    <n v="133"/>
    <s v="#SoundtrackOfLife"/>
    <s v="#NowPlaying"/>
    <x v="0"/>
    <s v="Before"/>
    <n v="9.7610068917312969"/>
    <n v="10.163581484835261"/>
    <n v="9.1635814848352606"/>
    <n v="13.82843114111704"/>
  </r>
  <r>
    <n v="1934"/>
    <n v="210"/>
    <n v="393"/>
    <n v="29129"/>
    <n v="73287"/>
    <n v="273"/>
    <s v="#DiscoverWeekly"/>
    <s v="Null"/>
    <x v="1"/>
    <s v="Before"/>
    <n v="9.7464803765549188"/>
    <n v="10.605536770317146"/>
    <n v="9.6055367703171459"/>
    <n v="9.6467437948436263"/>
  </r>
  <r>
    <n v="3092"/>
    <n v="177"/>
    <n v="81"/>
    <n v="47533"/>
    <n v="29220"/>
    <n v="121"/>
    <s v="#MusicForEveryone"/>
    <s v="#NowPlaying"/>
    <x v="0"/>
    <s v="Before"/>
    <n v="9.7468378553424149"/>
    <n v="10.282142177085355"/>
    <n v="9.2821421770853547"/>
    <n v="7.3022952475122542"/>
  </r>
  <r>
    <n v="3173"/>
    <n v="229"/>
    <n v="197"/>
    <n v="29604"/>
    <n v="21809"/>
    <n v="272"/>
    <s v="#SoundtrackOfLife"/>
    <s v="#NowPlaying"/>
    <x v="0"/>
    <s v="Before"/>
    <n v="9.7556311740756172"/>
    <n v="10.91311941519192"/>
    <n v="9.91311941519192"/>
    <n v="13.075935684366977"/>
  </r>
  <r>
    <n v="2748"/>
    <n v="145"/>
    <n v="315"/>
    <n v="24401"/>
    <n v="61182"/>
    <n v="200"/>
    <s v="#DiscoverWeekly"/>
    <s v="#SpotifyWrapped"/>
    <x v="1"/>
    <s v="Before"/>
    <n v="9.743644515193699"/>
    <n v="9.9255447620357415"/>
    <n v="8.9255447620357415"/>
    <n v="13.966640711446251"/>
  </r>
  <r>
    <n v="3882"/>
    <n v="239"/>
    <n v="275"/>
    <n v="58748"/>
    <n v="44646"/>
    <n v="149"/>
    <s v="#DiscoverWeekly"/>
    <s v="#SpotifyWrapped"/>
    <x v="1"/>
    <s v="Before"/>
    <n v="9.7283438043377117"/>
    <n v="10.019713332075415"/>
    <n v="9.0197133320754155"/>
    <n v="7.7364335807176419"/>
  </r>
  <r>
    <n v="4674"/>
    <n v="409"/>
    <n v="327"/>
    <n v="20756"/>
    <n v="63599"/>
    <n v="212"/>
    <s v="#SoundtrackOfLife"/>
    <s v="#NowPlaying"/>
    <x v="0"/>
    <s v="Before"/>
    <n v="9.7355871142417865"/>
    <n v="8.269089524525949"/>
    <n v="7.269089524525949"/>
    <n v="27.086143765658122"/>
  </r>
  <r>
    <n v="1428"/>
    <n v="347"/>
    <n v="67"/>
    <n v="21148"/>
    <n v="19712"/>
    <n v="120"/>
    <s v="#DiscoverWeekly"/>
    <s v="#MusicForEveryone"/>
    <x v="0"/>
    <s v="Before"/>
    <n v="9.672263914784061"/>
    <n v="8.5929798885975135"/>
    <n v="7.5929798885975135"/>
    <n v="9.2774730470966524"/>
  </r>
  <r>
    <n v="4432"/>
    <n v="223"/>
    <n v="299"/>
    <n v="59016"/>
    <n v="21742"/>
    <n v="171"/>
    <s v="#NowPlaying"/>
    <s v="Null"/>
    <x v="0"/>
    <s v="Before"/>
    <n v="9.6737100351785195"/>
    <n v="9.2235106839108738"/>
    <n v="8.2235106839108738"/>
    <n v="8.6840856716822561"/>
  </r>
  <r>
    <n v="2357"/>
    <n v="274"/>
    <n v="172"/>
    <n v="21566"/>
    <n v="66829"/>
    <n v="284"/>
    <s v="#NowPlaying"/>
    <s v="Null"/>
    <x v="0"/>
    <s v="Before"/>
    <n v="9.6773483600443164"/>
    <n v="8.5197495144691668"/>
    <n v="7.5197495144691668"/>
    <n v="14.314198275062598"/>
  </r>
  <r>
    <n v="1971"/>
    <n v="370"/>
    <n v="306"/>
    <n v="31316"/>
    <n v="27897"/>
    <n v="88"/>
    <s v="#SoundtrackOfLife"/>
    <s v="Null"/>
    <x v="1"/>
    <s v="Before"/>
    <n v="9.6602382127564255"/>
    <n v="9.0401893648498053"/>
    <n v="8.0401893648498053"/>
    <n v="8.7335547324051603"/>
  </r>
  <r>
    <n v="1485"/>
    <n v="353"/>
    <n v="244"/>
    <n v="38419"/>
    <n v="38556"/>
    <n v="86"/>
    <s v="#SoundtrackOfLife"/>
    <s v="#NowPlaying"/>
    <x v="0"/>
    <s v="Before"/>
    <n v="9.6636703737947638"/>
    <n v="9.2822898960370974"/>
    <n v="8.2822898960370974"/>
    <n v="5.6430412035711495"/>
  </r>
  <r>
    <n v="3956"/>
    <n v="319"/>
    <n v="61"/>
    <n v="58162"/>
    <n v="28720"/>
    <n v="213"/>
    <s v="#MusicForEveryone"/>
    <s v="#NowPlaying"/>
    <x v="0"/>
    <s v="Before"/>
    <n v="9.6786169506357442"/>
    <n v="7.7336256836387669"/>
    <n v="6.7336256836387669"/>
    <n v="7.8212578659605931"/>
  </r>
  <r>
    <n v="2460"/>
    <n v="409"/>
    <n v="253"/>
    <n v="36702"/>
    <n v="46122"/>
    <n v="264"/>
    <s v="#NowPlaying"/>
    <s v="Null"/>
    <x v="0"/>
    <s v="Before"/>
    <n v="9.6855473949815458"/>
    <n v="8.5041076714725019"/>
    <n v="7.5041076714725019"/>
    <n v="9.225655277641545"/>
  </r>
  <r>
    <n v="3476"/>
    <n v="355"/>
    <n v="396"/>
    <n v="37492"/>
    <n v="27285"/>
    <n v="179"/>
    <s v="#NowPlaying"/>
    <s v="Null"/>
    <x v="0"/>
    <s v="Before"/>
    <n v="9.6872698373685857"/>
    <n v="10.320443958048578"/>
    <n v="9.3204439580485783"/>
    <n v="11.75184039261709"/>
  </r>
  <r>
    <n v="4049"/>
    <n v="377"/>
    <n v="94"/>
    <n v="48182"/>
    <n v="42875"/>
    <n v="172"/>
    <s v="#MusicForEveryone"/>
    <s v="#NowPlaying"/>
    <x v="0"/>
    <s v="Before"/>
    <n v="9.6795082939278014"/>
    <n v="10.853483559661177"/>
    <n v="9.8534835596611767"/>
    <n v="9.7380764600888288"/>
  </r>
  <r>
    <n v="1514"/>
    <n v="164"/>
    <n v="275"/>
    <n v="41364"/>
    <n v="44389"/>
    <n v="83"/>
    <s v="#NowPlaying"/>
    <s v="Null"/>
    <x v="0"/>
    <s v="Before"/>
    <n v="9.6792872819800255"/>
    <n v="9.0989430095988748"/>
    <n v="8.0989430095988748"/>
    <n v="4.9221545305096219"/>
  </r>
  <r>
    <n v="4281"/>
    <n v="101"/>
    <n v="163"/>
    <n v="32278"/>
    <n v="53382"/>
    <n v="235"/>
    <s v="#NowPlaying"/>
    <s v="Null"/>
    <x v="2"/>
    <s v="Before"/>
    <n v="9.6973067242204447"/>
    <n v="7.3855655866043621"/>
    <n v="6.3855655866043621"/>
    <n v="14.808848131854512"/>
  </r>
  <r>
    <n v="1751"/>
    <n v="143"/>
    <n v="151"/>
    <n v="31826"/>
    <n v="47729"/>
    <n v="95"/>
    <s v="#DiscoverWeekly"/>
    <s v="#SoundtrackOfLife"/>
    <x v="3"/>
    <s v="During"/>
    <n v="9.6778712055602387"/>
    <n v="9.0252709351662546"/>
    <n v="8.0252709351662546"/>
    <n v="6.7240620876013315"/>
  </r>
  <r>
    <n v="3753"/>
    <n v="411"/>
    <n v="308"/>
    <n v="29138"/>
    <n v="27678"/>
    <n v="90"/>
    <s v="#DiscoverWeekly"/>
    <s v="Null"/>
    <x v="1"/>
    <s v="During"/>
    <n v="9.6778712055602387"/>
    <n v="9.2825829410043799"/>
    <n v="8.2825829410043799"/>
    <n v="15.656530990459194"/>
  </r>
  <r>
    <n v="1678"/>
    <n v="423"/>
    <n v="323"/>
    <n v="55668"/>
    <n v="37945"/>
    <n v="230"/>
    <s v="#NowPlaying"/>
    <s v="Null"/>
    <x v="2"/>
    <s v="Before"/>
    <n v="9.6778712055602387"/>
    <n v="9.5255206969552297"/>
    <n v="8.5255206969552297"/>
    <n v="4.7675504778328666"/>
  </r>
  <r>
    <n v="4896"/>
    <n v="466"/>
    <n v="233"/>
    <n v="28621"/>
    <n v="34270"/>
    <n v="84"/>
    <s v="#SoundtrackOfLife"/>
    <s v="#NowPlaying"/>
    <x v="0"/>
    <s v="Before"/>
    <n v="9.6966128877271363"/>
    <n v="9.2242411706579936"/>
    <n v="8.2242411706579936"/>
    <n v="19.842074001607212"/>
  </r>
  <r>
    <n v="2786"/>
    <n v="368"/>
    <n v="208"/>
    <n v="42000"/>
    <n v="39967"/>
    <n v="103"/>
    <s v="#DiscoverWeekly"/>
    <s v="#SoundtrackOfLife"/>
    <x v="3"/>
    <s v="Before"/>
    <n v="9.6577413892065209"/>
    <n v="9.0643083833149092"/>
    <n v="8.0643083833149092"/>
    <n v="8.25"/>
  </r>
  <r>
    <n v="2607"/>
    <n v="379"/>
    <n v="180"/>
    <n v="28712"/>
    <n v="61620"/>
    <n v="174"/>
    <s v="#SoundtrackOfLife"/>
    <s v="Null"/>
    <x v="1"/>
    <s v="Before"/>
    <n v="9.6631557791650078"/>
    <n v="10.968412046538038"/>
    <n v="9.9684120465380381"/>
    <n v="11.632766787405963"/>
  </r>
  <r>
    <n v="4013"/>
    <n v="320"/>
    <n v="92"/>
    <n v="54605"/>
    <n v="60169"/>
    <n v="232"/>
    <s v="#DiscoverWeekly"/>
    <s v="#SoundtrackOfLife"/>
    <x v="3"/>
    <s v="Before"/>
    <n v="9.6555511034575137"/>
    <n v="7.3836065087929237"/>
    <n v="6.3836065087929237"/>
    <n v="8.5285230290266458"/>
  </r>
  <r>
    <n v="2707"/>
    <n v="103"/>
    <n v="51"/>
    <n v="55302"/>
    <n v="18801"/>
    <n v="147"/>
    <s v="#DiscoverWeekly"/>
    <s v="#MusicForEveryone"/>
    <x v="0"/>
    <s v="Before"/>
    <n v="9.6599194293274024"/>
    <n v="10.078319139754413"/>
    <n v="9.078319139754413"/>
    <n v="5.4392246211710242"/>
  </r>
  <r>
    <n v="2824"/>
    <n v="425"/>
    <n v="274"/>
    <n v="31004"/>
    <n v="53488"/>
    <n v="268"/>
    <s v="#SoundtrackOfLife"/>
    <s v="#NowPlaying"/>
    <x v="0"/>
    <s v="Before"/>
    <n v="9.6763423663241177"/>
    <n v="10.675409342880513"/>
    <n v="9.6754093428805135"/>
    <n v="12.227454521997162"/>
  </r>
  <r>
    <n v="3558"/>
    <n v="314"/>
    <n v="199"/>
    <n v="49612"/>
    <n v="53929"/>
    <n v="206"/>
    <s v="#DiscoverWeekly"/>
    <s v="#SoundtrackOfLife"/>
    <x v="3"/>
    <s v="Before"/>
    <n v="9.6663770844660206"/>
    <n v="11.518819646622994"/>
    <n v="10.518819646622994"/>
    <n v="8.6208981697976288"/>
  </r>
  <r>
    <n v="3418"/>
    <n v="188"/>
    <n v="387"/>
    <n v="57431"/>
    <n v="36933"/>
    <n v="202"/>
    <s v="#MusicForEveryone"/>
    <s v="#NowPlaying"/>
    <x v="0"/>
    <s v="Before"/>
    <n v="9.6704770017784458"/>
    <n v="9.5658192367087658"/>
    <n v="8.5658192367087658"/>
    <n v="7.3044174748829027"/>
  </r>
  <r>
    <n v="2411"/>
    <n v="194"/>
    <n v="168"/>
    <n v="26665"/>
    <n v="71699"/>
    <n v="197"/>
    <s v="#NowPlaying"/>
    <s v="Null"/>
    <x v="0"/>
    <s v="Before"/>
    <n v="9.6797921967662237"/>
    <n v="9.9028710864031719"/>
    <n v="8.9028710864031719"/>
    <n v="11.138196137258578"/>
  </r>
  <r>
    <n v="4036"/>
    <n v="112"/>
    <n v="382"/>
    <n v="56284"/>
    <n v="29440"/>
    <n v="279"/>
    <s v="#SoundtrackOfLife"/>
    <s v="#NowPlaying"/>
    <x v="0"/>
    <s v="Before"/>
    <n v="9.6740277543136841"/>
    <n v="10.355705408281997"/>
    <n v="9.355705408281997"/>
    <n v="8.5441688579347606"/>
  </r>
  <r>
    <n v="2776"/>
    <n v="307"/>
    <n v="178"/>
    <n v="43365"/>
    <n v="48408"/>
    <n v="138"/>
    <s v="#SoundtrackOfLife"/>
    <s v="#NowPlaying"/>
    <x v="0"/>
    <s v="Before"/>
    <n v="9.6785113213628069"/>
    <n v="10.214922184392083"/>
    <n v="9.2149221843920834"/>
    <n v="7.8381182981667239"/>
  </r>
  <r>
    <n v="4929"/>
    <n v="182"/>
    <n v="95"/>
    <n v="32181"/>
    <n v="31084"/>
    <n v="289"/>
    <s v="#DiscoverWeekly"/>
    <s v="#MusicForEveryone"/>
    <x v="0"/>
    <s v="Before"/>
    <n v="9.6858435644831093"/>
    <n v="9.6453822051468503"/>
    <n v="8.6453822051468503"/>
    <n v="17.075292874677604"/>
  </r>
  <r>
    <n v="1015"/>
    <n v="366"/>
    <n v="308"/>
    <n v="38127"/>
    <n v="63790"/>
    <n v="287"/>
    <s v="#SoundtrackOfLife"/>
    <s v="#NowPlaying"/>
    <x v="0"/>
    <s v="Before"/>
    <n v="9.6562857672423323"/>
    <n v="10.936467057733205"/>
    <n v="9.9364670577332053"/>
    <n v="5.1826789414325809"/>
  </r>
  <r>
    <n v="3316"/>
    <n v="332"/>
    <n v="268"/>
    <n v="40095"/>
    <n v="36913"/>
    <n v="265"/>
    <s v="#MusicForEveryone"/>
    <s v="#NowPlaying"/>
    <x v="0"/>
    <s v="Before"/>
    <n v="9.6742520597154638"/>
    <n v="10.515324751730827"/>
    <n v="9.5153247517308266"/>
    <n v="10.427734131437836"/>
  </r>
  <r>
    <n v="2274"/>
    <n v="243"/>
    <n v="222"/>
    <n v="43066"/>
    <n v="59174"/>
    <n v="80"/>
    <s v="#DiscoverWeekly"/>
    <s v="Null"/>
    <x v="1"/>
    <s v="Before"/>
    <n v="9.6712138255552915"/>
    <n v="9.4835269417914869"/>
    <n v="8.4835269417914869"/>
    <n v="6.5457669623368782"/>
  </r>
  <r>
    <n v="4095"/>
    <n v="385"/>
    <n v="400"/>
    <n v="45300"/>
    <n v="31795"/>
    <n v="80"/>
    <s v="#MusicForEveryone"/>
    <s v="#NowPlaying"/>
    <x v="0"/>
    <s v="Before"/>
    <n v="9.683867456580467"/>
    <n v="8.281200462590153"/>
    <n v="7.281200462590153"/>
    <n v="10.949227373068434"/>
  </r>
  <r>
    <n v="1230"/>
    <n v="309"/>
    <n v="207"/>
    <n v="44629"/>
    <n v="40699"/>
    <n v="195"/>
    <s v="#NowPlaying"/>
    <s v="Null"/>
    <x v="2"/>
    <s v="Before"/>
    <n v="9.6787237170825478"/>
    <n v="9.4094156780260718"/>
    <n v="8.4094156780260718"/>
    <n v="4.3491899885724532"/>
  </r>
  <r>
    <n v="1341"/>
    <n v="472"/>
    <n v="238"/>
    <n v="51386"/>
    <n v="51706"/>
    <n v="133"/>
    <s v="#DiscoverWeekly"/>
    <s v="Null"/>
    <x v="1"/>
    <s v="Before"/>
    <n v="9.7004769159744271"/>
    <n v="9.6458636777426321"/>
    <n v="8.6458636777426321"/>
    <n v="4.2501848752578519"/>
  </r>
  <r>
    <n v="3615"/>
    <n v="192"/>
    <n v="162"/>
    <n v="27492"/>
    <n v="35341"/>
    <n v="125"/>
    <s v="#NowPlaying"/>
    <s v="Null"/>
    <x v="0"/>
    <s v="Before"/>
    <n v="9.72281417843638"/>
    <n v="9.1899229929957489"/>
    <n v="8.1899229929957489"/>
    <n v="14.891604830496144"/>
  </r>
  <r>
    <n v="4001"/>
    <n v="353"/>
    <n v="129"/>
    <n v="41265"/>
    <n v="37279"/>
    <n v="275"/>
    <s v="#SoundtrackOfLife"/>
    <s v="#NowPlaying"/>
    <x v="0"/>
    <s v="Before"/>
    <n v="9.7015434350122636"/>
    <n v="9.2323650214041777"/>
    <n v="8.2323650214041777"/>
    <n v="11.53035259905489"/>
  </r>
  <r>
    <n v="3451"/>
    <n v="363"/>
    <n v="393"/>
    <n v="44853"/>
    <n v="69032"/>
    <n v="211"/>
    <s v="#NowPlaying"/>
    <s v="Null"/>
    <x v="2"/>
    <s v="Before"/>
    <n v="9.6939863723509312"/>
    <n v="8.486730717464793"/>
    <n v="7.486730717464793"/>
    <n v="9.8499542951419077"/>
  </r>
  <r>
    <n v="4891"/>
    <n v="450"/>
    <n v="387"/>
    <n v="48746"/>
    <n v="37312"/>
    <n v="154"/>
    <s v="#SoundtrackOfLife"/>
    <s v="#NowPlaying"/>
    <x v="0"/>
    <s v="Before"/>
    <n v="9.6933392025468201"/>
    <n v="7.2610033024808338"/>
    <n v="6.2610033024808338"/>
    <n v="12.066631108193492"/>
  </r>
  <r>
    <n v="1452"/>
    <n v="281"/>
    <n v="326"/>
    <n v="51556"/>
    <n v="62599"/>
    <n v="290"/>
    <s v="#DiscoverWeekly"/>
    <s v="Null"/>
    <x v="1"/>
    <s v="Before"/>
    <n v="9.6834504862732942"/>
    <n v="10.975098307451477"/>
    <n v="9.9750983074514767"/>
    <n v="4.5562107223213593"/>
  </r>
  <r>
    <n v="3806"/>
    <n v="114"/>
    <n v="278"/>
    <n v="36148"/>
    <n v="24209"/>
    <n v="201"/>
    <s v="#DiscoverWeekly"/>
    <s v="#SpotifyWrapped"/>
    <x v="1"/>
    <s v="During"/>
    <n v="9.7049033723149343"/>
    <n v="8.605723146211254"/>
    <n v="7.605723146211254"/>
    <n v="12.169414628748479"/>
  </r>
  <r>
    <n v="2923"/>
    <n v="330"/>
    <n v="250"/>
    <n v="23993"/>
    <n v="74590"/>
    <n v="92"/>
    <s v="#DiscoverWeekly"/>
    <s v="Null"/>
    <x v="1"/>
    <s v="Before"/>
    <n v="9.7049033723149343"/>
    <n v="9.9968024322615516"/>
    <n v="8.9968024322615516"/>
    <n v="14.983536864918934"/>
  </r>
  <r>
    <n v="3361"/>
    <n v="188"/>
    <n v="358"/>
    <n v="39838"/>
    <n v="24536"/>
    <n v="120"/>
    <s v="#DiscoverWeekly"/>
    <s v="#SoundtrackOfLife"/>
    <x v="3"/>
    <s v="Before"/>
    <n v="9.6827242399930675"/>
    <n v="8.6447664320313411"/>
    <n v="7.6447664320313411"/>
    <n v="10.108439178673628"/>
  </r>
  <r>
    <n v="3074"/>
    <n v="371"/>
    <n v="348"/>
    <n v="24104"/>
    <n v="57803"/>
    <n v="213"/>
    <s v="#NowPlaying"/>
    <s v="Null"/>
    <x v="2"/>
    <s v="Before"/>
    <n v="9.6809279744290144"/>
    <n v="10.063321248219852"/>
    <n v="9.063321248219852"/>
    <n v="16.619648191171592"/>
  </r>
  <r>
    <n v="4276"/>
    <n v="227"/>
    <n v="223"/>
    <n v="43443"/>
    <n v="41005"/>
    <n v="191"/>
    <s v="#DiscoverWeekly"/>
    <s v="#MusicForEveryone"/>
    <x v="0"/>
    <s v="Before"/>
    <n v="9.6515266175784102"/>
    <n v="12.324732105975821"/>
    <n v="11.324732105975821"/>
    <n v="11.318279124369864"/>
  </r>
  <r>
    <n v="4401"/>
    <n v="421"/>
    <n v="216"/>
    <n v="24890"/>
    <n v="54361"/>
    <n v="148"/>
    <s v="#NowPlaying"/>
    <s v="Null"/>
    <x v="0"/>
    <s v="Before"/>
    <n v="9.6444340537197242"/>
    <n v="10.288902817101054"/>
    <n v="9.2889028171010537"/>
    <n v="20.835676978706307"/>
  </r>
  <r>
    <n v="4161"/>
    <n v="481"/>
    <n v="61"/>
    <n v="45884"/>
    <n v="48955"/>
    <n v="215"/>
    <s v="#DiscoverWeekly"/>
    <s v="#SoundtrackOfLife"/>
    <x v="3"/>
    <s v="Before"/>
    <n v="9.5966082292539703"/>
    <n v="9.4481060042849556"/>
    <n v="8.4481060042849556"/>
    <n v="10.718333188039404"/>
  </r>
  <r>
    <n v="2613"/>
    <n v="455"/>
    <n v="228"/>
    <n v="21645"/>
    <n v="61334"/>
    <n v="261"/>
    <s v="#DiscoverWeekly"/>
    <s v="#MusicForEveryone"/>
    <x v="0"/>
    <s v="Before"/>
    <n v="9.5917939590445904"/>
    <n v="10.596198065722673"/>
    <n v="9.5961980657226729"/>
    <n v="16.433356433356433"/>
  </r>
  <r>
    <n v="2842"/>
    <n v="213"/>
    <n v="331"/>
    <n v="57660"/>
    <n v="68606"/>
    <n v="87"/>
    <s v="#MusicForEveryone"/>
    <s v="#NowPlaying"/>
    <x v="0"/>
    <s v="Before"/>
    <n v="9.5623044656208318"/>
    <n v="9.1110510827187738"/>
    <n v="8.1110510827187738"/>
    <n v="6.023239680887964"/>
  </r>
  <r>
    <n v="4851"/>
    <n v="460"/>
    <n v="212"/>
    <n v="58075"/>
    <n v="59574"/>
    <n v="239"/>
    <s v="#DiscoverWeekly"/>
    <s v="Null"/>
    <x v="1"/>
    <s v="Before"/>
    <n v="9.5776250923945661"/>
    <n v="9.2993995859922407"/>
    <n v="8.2993995859922407"/>
    <n v="9.9216530348687044"/>
  </r>
  <r>
    <n v="1828"/>
    <n v="450"/>
    <n v="214"/>
    <n v="52115"/>
    <n v="19166"/>
    <n v="190"/>
    <s v="#NowPlaying"/>
    <s v="Null"/>
    <x v="0"/>
    <s v="Before"/>
    <n v="9.5761293187316365"/>
    <n v="5.7783139429012076"/>
    <n v="4.7783139429012076"/>
    <n v="5.1463110428859249"/>
  </r>
  <r>
    <n v="2422"/>
    <n v="455"/>
    <n v="376"/>
    <n v="23428"/>
    <n v="46775"/>
    <n v="259"/>
    <s v="#NowPlaying"/>
    <s v="Null"/>
    <x v="2"/>
    <s v="Before"/>
    <n v="9.5954735033423155"/>
    <n v="8.2844099664501289"/>
    <n v="7.2844099664501289"/>
    <n v="14.990609527061634"/>
  </r>
  <r>
    <n v="2683"/>
    <n v="405"/>
    <n v="223"/>
    <n v="31233"/>
    <n v="58106"/>
    <n v="291"/>
    <s v="#DiscoverWeekly"/>
    <s v="Null"/>
    <x v="1"/>
    <s v="Before"/>
    <n v="9.5718106260453002"/>
    <n v="10.542822569671314"/>
    <n v="9.5428225696713138"/>
    <n v="11.532673774533347"/>
  </r>
  <r>
    <n v="3135"/>
    <n v="110"/>
    <n v="215"/>
    <n v="39192"/>
    <n v="24744"/>
    <n v="177"/>
    <s v="#DiscoverWeekly"/>
    <s v="#SpotifyWrapped"/>
    <x v="1"/>
    <s v="Before"/>
    <n v="9.5631724623955741"/>
    <n v="8.9695682467204882"/>
    <n v="7.9695682467204882"/>
    <n v="9.2799550928760972"/>
  </r>
  <r>
    <n v="1105"/>
    <n v="181"/>
    <n v="55"/>
    <n v="53581"/>
    <n v="74048"/>
    <n v="220"/>
    <s v="#DiscoverWeekly"/>
    <s v="#SpotifyWrapped"/>
    <x v="1"/>
    <s v="Before"/>
    <n v="9.564425636596992"/>
    <n v="10.540904808747925"/>
    <n v="9.5409048087479249"/>
    <n v="2.913346148821411"/>
  </r>
  <r>
    <n v="4674"/>
    <n v="326"/>
    <n v="62"/>
    <n v="45503"/>
    <n v="46814"/>
    <n v="116"/>
    <s v="#DiscoverWeekly"/>
    <s v="#SpotifyWrapped"/>
    <x v="1"/>
    <s v="Before"/>
    <n v="9.5939859898759945"/>
    <n v="9.074930486655111"/>
    <n v="8.074930486655111"/>
    <n v="11.379469485528427"/>
  </r>
  <r>
    <n v="3437"/>
    <n v="129"/>
    <n v="359"/>
    <n v="44558"/>
    <n v="30854"/>
    <n v="171"/>
    <s v="#DiscoverWeekly"/>
    <s v="#SoundtrackOfLife"/>
    <x v="3"/>
    <s v="Before"/>
    <n v="9.5860150814132599"/>
    <n v="10.948858552669124"/>
    <n v="9.9488585526691242"/>
    <n v="9.19251312895552"/>
  </r>
  <r>
    <n v="1959"/>
    <n v="316"/>
    <n v="82"/>
    <n v="54036"/>
    <n v="69015"/>
    <n v="182"/>
    <s v="#MusicForEveryone"/>
    <s v="#NowPlaying"/>
    <x v="0"/>
    <s v="Before"/>
    <n v="9.5877796641597062"/>
    <n v="11.332087903819273"/>
    <n v="10.332087903819273"/>
    <n v="4.6987193722703378"/>
  </r>
  <r>
    <n v="1035"/>
    <n v="137"/>
    <n v="184"/>
    <n v="37302"/>
    <n v="68953"/>
    <n v="237"/>
    <s v="#SoundtrackOfLife"/>
    <s v="Null"/>
    <x v="1"/>
    <s v="During"/>
    <n v="9.6098024582673176"/>
    <n v="9.8751529235797619"/>
    <n v="8.8751529235797619"/>
    <n v="4.2705484960591926"/>
  </r>
  <r>
    <n v="4478"/>
    <n v="101"/>
    <n v="121"/>
    <n v="51035"/>
    <n v="58207"/>
    <n v="205"/>
    <s v="#MusicForEveryone"/>
    <s v="#NowPlaying"/>
    <x v="0"/>
    <s v="Before"/>
    <n v="9.6098024582673176"/>
    <n v="11.367115518965306"/>
    <n v="10.367115518965306"/>
    <n v="9.6110512393455476"/>
  </r>
  <r>
    <n v="1488"/>
    <n v="327"/>
    <n v="110"/>
    <n v="53805"/>
    <n v="30239"/>
    <n v="109"/>
    <s v="#DiscoverWeekly"/>
    <s v="#SpotifyWrapped"/>
    <x v="1"/>
    <s v="Before"/>
    <n v="9.6097968076742024"/>
    <n v="11.818731102727403"/>
    <n v="10.818731102727403"/>
    <n v="3.7803178143295231"/>
  </r>
  <r>
    <n v="4836"/>
    <n v="331"/>
    <n v="140"/>
    <n v="58792"/>
    <n v="47711"/>
    <n v="227"/>
    <s v="#SoundtrackOfLife"/>
    <s v="#NowPlaying"/>
    <x v="0"/>
    <s v="Before"/>
    <n v="9.6362944394621337"/>
    <n v="9.1862292306488254"/>
    <n v="8.1862292306488254"/>
    <n v="9.4128452850727982"/>
  </r>
  <r>
    <n v="4563"/>
    <n v="488"/>
    <n v="356"/>
    <n v="30619"/>
    <n v="23328"/>
    <n v="267"/>
    <s v="#DiscoverWeekly"/>
    <s v="#SoundtrackOfLife"/>
    <x v="3"/>
    <s v="Before"/>
    <n v="9.6373147552355984"/>
    <n v="10.787360120953771"/>
    <n v="9.7873601209537711"/>
    <n v="18.53097749763219"/>
  </r>
  <r>
    <n v="3276"/>
    <n v="421"/>
    <n v="114"/>
    <n v="20580"/>
    <n v="30324"/>
    <n v="221"/>
    <s v="#SoundtrackOfLife"/>
    <s v="Null"/>
    <x v="1"/>
    <s v="Before"/>
    <n v="9.5965181371512109"/>
    <n v="8.4537961143302756"/>
    <n v="7.4537961143302756"/>
    <n v="19.591836734693878"/>
  </r>
  <r>
    <n v="1316"/>
    <n v="472"/>
    <n v="286"/>
    <n v="44692"/>
    <n v="53343"/>
    <n v="227"/>
    <s v="#DiscoverWeekly"/>
    <s v="#MusicForEveryone"/>
    <x v="0"/>
    <s v="Before"/>
    <n v="9.5504567611256697"/>
    <n v="8.5330704417354593"/>
    <n v="7.5330704417354593"/>
    <n v="5.1485724514454487"/>
  </r>
  <r>
    <n v="4811"/>
    <n v="473"/>
    <n v="254"/>
    <n v="51964"/>
    <n v="68795"/>
    <n v="107"/>
    <s v="#NowPlaying"/>
    <s v="Null"/>
    <x v="0"/>
    <s v="Before"/>
    <n v="9.5708358551519677"/>
    <n v="9.1886421182094775"/>
    <n v="8.1886421182094775"/>
    <n v="10.863289969979215"/>
  </r>
  <r>
    <n v="4218"/>
    <n v="247"/>
    <n v="183"/>
    <n v="28914"/>
    <n v="18310"/>
    <n v="135"/>
    <s v="#SoundtrackOfLife"/>
    <s v="Null"/>
    <x v="1"/>
    <s v="Before"/>
    <n v="9.564824440664399"/>
    <n v="10.927439745789803"/>
    <n v="9.9274397457898029"/>
    <n v="16.542159507505012"/>
  </r>
  <r>
    <n v="1360"/>
    <n v="249"/>
    <n v="52"/>
    <n v="20368"/>
    <n v="42152"/>
    <n v="193"/>
    <s v="#DiscoverWeekly"/>
    <s v="Null"/>
    <x v="1"/>
    <s v="Before"/>
    <n v="9.5322200711931817"/>
    <n v="8.0555957508380942"/>
    <n v="7.0555957508380942"/>
    <n v="9.1025137470542035"/>
  </r>
  <r>
    <n v="1085"/>
    <n v="496"/>
    <n v="320"/>
    <n v="36528"/>
    <n v="38599"/>
    <n v="270"/>
    <s v="#DiscoverWeekly"/>
    <s v="#SoundtrackOfLife"/>
    <x v="3"/>
    <s v="Before"/>
    <n v="9.5342374717759935"/>
    <n v="9.5800335059587294"/>
    <n v="8.5800335059587294"/>
    <n v="5.9433858957512049"/>
  </r>
  <r>
    <n v="1763"/>
    <n v="206"/>
    <n v="187"/>
    <n v="53342"/>
    <n v="25095"/>
    <n v="88"/>
    <s v="#DiscoverWeekly"/>
    <s v="#MusicForEveryone"/>
    <x v="0"/>
    <s v="Before"/>
    <n v="9.5511754509081843"/>
    <n v="10.140830141231381"/>
    <n v="9.1408301412313815"/>
    <n v="4.2068163923362452"/>
  </r>
  <r>
    <n v="1554"/>
    <n v="455"/>
    <n v="158"/>
    <n v="41947"/>
    <n v="48578"/>
    <n v="101"/>
    <s v="#SoundtrackOfLife"/>
    <s v="#NowPlaying"/>
    <x v="0"/>
    <s v="Before"/>
    <n v="9.5765041668255861"/>
    <n v="9.6928494068584303"/>
    <n v="8.6928494068584303"/>
    <n v="5.4068228955586815"/>
  </r>
  <r>
    <n v="2464"/>
    <n v="401"/>
    <n v="78"/>
    <n v="38665"/>
    <n v="73593"/>
    <n v="207"/>
    <s v="#DiscoverWeekly"/>
    <s v="Null"/>
    <x v="1"/>
    <s v="During"/>
    <n v="9.596359791926858"/>
    <n v="8.3509603307042806"/>
    <n v="7.3509603307042806"/>
    <n v="8.1469028837449891"/>
  </r>
  <r>
    <n v="2418"/>
    <n v="161"/>
    <n v="360"/>
    <n v="30589"/>
    <n v="41383"/>
    <n v="88"/>
    <s v="#NowPlaying"/>
    <s v="Null"/>
    <x v="0"/>
    <s v="Before"/>
    <n v="9.596359791926858"/>
    <n v="11.571568436548029"/>
    <n v="10.571568436548029"/>
    <n v="9.8957141456078972"/>
  </r>
  <r>
    <n v="2494"/>
    <n v="494"/>
    <n v="55"/>
    <n v="22580"/>
    <n v="22214"/>
    <n v="109"/>
    <s v="#MusicForEveryone"/>
    <s v="#NowPlaying"/>
    <x v="0"/>
    <s v="Before"/>
    <n v="9.5949274744451305"/>
    <n v="8.5019582473444633"/>
    <n v="7.5019582473444633"/>
    <n v="13.959255978742249"/>
  </r>
  <r>
    <n v="4781"/>
    <n v="191"/>
    <n v="122"/>
    <n v="35535"/>
    <n v="50777"/>
    <n v="128"/>
    <s v="#DiscoverWeekly"/>
    <s v="#SoundtrackOfLife"/>
    <x v="3"/>
    <s v="Before"/>
    <n v="9.5739451258667803"/>
    <n v="9.8657675667032585"/>
    <n v="8.8657675667032585"/>
    <n v="14.695370761221332"/>
  </r>
  <r>
    <n v="2284"/>
    <n v="187"/>
    <n v="260"/>
    <n v="37400"/>
    <n v="65014"/>
    <n v="157"/>
    <s v="#SoundtrackOfLife"/>
    <s v="#NowPlaying"/>
    <x v="0"/>
    <s v="Before"/>
    <n v="9.5492039392225543"/>
    <n v="8.9450223128406865"/>
    <n v="7.9450223128406865"/>
    <n v="7.7219251336898402"/>
  </r>
  <r>
    <n v="4234"/>
    <n v="486"/>
    <n v="276"/>
    <n v="56623"/>
    <n v="41343"/>
    <n v="184"/>
    <s v="#SoundtrackOfLife"/>
    <s v="Null"/>
    <x v="1"/>
    <s v="Before"/>
    <n v="9.5580742246863064"/>
    <n v="9.3290532274474476"/>
    <n v="8.3290532274474476"/>
    <n v="9.1482259859067874"/>
  </r>
  <r>
    <n v="2102"/>
    <n v="181"/>
    <n v="306"/>
    <n v="43650"/>
    <n v="50079"/>
    <n v="182"/>
    <s v="#DiscoverWeekly"/>
    <s v="Null"/>
    <x v="1"/>
    <s v="Before"/>
    <n v="9.5600734843876705"/>
    <n v="10.144792546721677"/>
    <n v="9.1447925467216766"/>
    <n v="6.3482245131729664"/>
  </r>
  <r>
    <n v="4845"/>
    <n v="158"/>
    <n v="84"/>
    <n v="34578"/>
    <n v="51480"/>
    <n v="180"/>
    <s v="#SoundtrackOfLife"/>
    <s v="#NowPlaying"/>
    <x v="0"/>
    <s v="Before"/>
    <n v="9.5758178420897018"/>
    <n v="9.6837997000356477"/>
    <n v="8.6837997000356477"/>
    <n v="15.232228584649199"/>
  </r>
  <r>
    <n v="4247"/>
    <n v="390"/>
    <n v="213"/>
    <n v="29785"/>
    <n v="57768"/>
    <n v="122"/>
    <s v="#NowPlaying"/>
    <s v="Null"/>
    <x v="0"/>
    <s v="Before"/>
    <n v="9.5479537497618239"/>
    <n v="8.6408960544725932"/>
    <n v="7.6408960544725932"/>
    <n v="16.692966258183649"/>
  </r>
  <r>
    <n v="2965"/>
    <n v="328"/>
    <n v="171"/>
    <n v="57685"/>
    <n v="67536"/>
    <n v="264"/>
    <s v="#SoundtrackOfLife"/>
    <s v="#NowPlaying"/>
    <x v="0"/>
    <s v="Before"/>
    <n v="9.5125824007102295"/>
    <n v="7.904777021301256"/>
    <n v="6.904777021301256"/>
    <n v="6.4626852734679732"/>
  </r>
  <r>
    <n v="1371"/>
    <n v="139"/>
    <n v="96"/>
    <n v="36140"/>
    <n v="39395"/>
    <n v="169"/>
    <s v="#SoundtrackOfLife"/>
    <s v="#NowPlaying"/>
    <x v="0"/>
    <s v="Before"/>
    <n v="9.5277560182586978"/>
    <n v="9.3505386328157822"/>
    <n v="8.3505386328157822"/>
    <n v="4.9114554510237962"/>
  </r>
  <r>
    <n v="2683"/>
    <n v="496"/>
    <n v="89"/>
    <n v="53435"/>
    <n v="30334"/>
    <n v="160"/>
    <s v="#SoundtrackOfLife"/>
    <s v="#NowPlaying"/>
    <x v="0"/>
    <s v="Before"/>
    <n v="9.5508375210948717"/>
    <n v="8.8478492931793937"/>
    <n v="7.8478492931793937"/>
    <n v="6.4152708898661928"/>
  </r>
  <r>
    <n v="4796"/>
    <n v="427"/>
    <n v="339"/>
    <n v="30752"/>
    <n v="33870"/>
    <n v="298"/>
    <s v="#SoundtrackOfLife"/>
    <s v="#NowPlaying"/>
    <x v="0"/>
    <s v="Before"/>
    <n v="9.5665941373322045"/>
    <n v="10.34335651795921"/>
    <n v="9.3433565179592097"/>
    <n v="19.055671175858478"/>
  </r>
  <r>
    <n v="2601"/>
    <n v="336"/>
    <n v="260"/>
    <n v="32368"/>
    <n v="49028"/>
    <n v="120"/>
    <s v="#SoundtrackOfLife"/>
    <s v="#NowPlaying"/>
    <x v="0"/>
    <s v="Before"/>
    <n v="9.5186695058244961"/>
    <n v="6.7214114917181087"/>
    <n v="5.7214114917181087"/>
    <n v="10.247775580820564"/>
  </r>
  <r>
    <n v="3336"/>
    <n v="229"/>
    <n v="337"/>
    <n v="22117"/>
    <n v="26205"/>
    <n v="160"/>
    <s v="#MusicForEveryone"/>
    <s v="#NowPlaying"/>
    <x v="0"/>
    <s v="Before"/>
    <n v="9.5149684597585278"/>
    <n v="10.809741236761907"/>
    <n v="9.8097412367619068"/>
    <n v="18.365962834019083"/>
  </r>
  <r>
    <n v="1165"/>
    <n v="294"/>
    <n v="163"/>
    <n v="20659"/>
    <n v="45926"/>
    <n v="111"/>
    <s v="#SoundtrackOfLife"/>
    <s v="Null"/>
    <x v="1"/>
    <s v="Before"/>
    <n v="9.469810325195974"/>
    <n v="9.8298422258921434"/>
    <n v="8.8298422258921434"/>
    <n v="8.3885957693983251"/>
  </r>
  <r>
    <n v="1948"/>
    <n v="155"/>
    <n v="315"/>
    <n v="30321"/>
    <n v="57121"/>
    <n v="82"/>
    <s v="#DiscoverWeekly"/>
    <s v="#SoundtrackOfLife"/>
    <x v="3"/>
    <s v="Before"/>
    <n v="9.4753550152257056"/>
    <n v="12.976462956142347"/>
    <n v="11.976462956142347"/>
    <n v="8.245110649384916"/>
  </r>
  <r>
    <n v="1100"/>
    <n v="229"/>
    <n v="312"/>
    <n v="25641"/>
    <n v="34601"/>
    <n v="169"/>
    <s v="#DiscoverWeekly"/>
    <s v="Null"/>
    <x v="1"/>
    <s v="Before"/>
    <n v="9.4816964810290081"/>
    <n v="9.7218661041250893"/>
    <n v="8.7218661041250893"/>
    <n v="7.059007059007059"/>
  </r>
  <r>
    <n v="4628"/>
    <n v="257"/>
    <n v="397"/>
    <n v="36686"/>
    <n v="54683"/>
    <n v="98"/>
    <s v="#SoundtrackOfLife"/>
    <s v="#NowPlaying"/>
    <x v="0"/>
    <s v="Before"/>
    <n v="9.4942492759617636"/>
    <n v="8.8672313804064551"/>
    <n v="7.8672313804064551"/>
    <n v="14.664994820912611"/>
  </r>
  <r>
    <n v="2319"/>
    <n v="484"/>
    <n v="193"/>
    <n v="21202"/>
    <n v="18091"/>
    <n v="241"/>
    <s v="#NowPlaying"/>
    <s v="Null"/>
    <x v="2"/>
    <s v="Before"/>
    <n v="9.4673183095818114"/>
    <n v="10.01483346967056"/>
    <n v="9.0148334696705597"/>
    <n v="15.2674276011697"/>
  </r>
  <r>
    <n v="2895"/>
    <n v="292"/>
    <n v="90"/>
    <n v="24223"/>
    <n v="54626"/>
    <n v="114"/>
    <s v="#SoundtrackOfLife"/>
    <s v="#NowPlaying"/>
    <x v="0"/>
    <s v="Before"/>
    <n v="9.4369512452279469"/>
    <n v="10.529746149414544"/>
    <n v="9.5297461494145441"/>
    <n v="13.99909177228254"/>
  </r>
  <r>
    <n v="3878"/>
    <n v="431"/>
    <n v="97"/>
    <n v="41763"/>
    <n v="29729"/>
    <n v="191"/>
    <s v="#DiscoverWeekly"/>
    <s v="Null"/>
    <x v="1"/>
    <s v="Before"/>
    <n v="9.4129399792960804"/>
    <n v="9.9481094633114981"/>
    <n v="8.9481094633114981"/>
    <n v="11.007351004477647"/>
  </r>
  <r>
    <n v="4969"/>
    <n v="433"/>
    <n v="237"/>
    <n v="59552"/>
    <n v="23885"/>
    <n v="157"/>
    <s v="#DiscoverWeekly"/>
    <s v="#MusicForEveryone"/>
    <x v="0"/>
    <s v="Before"/>
    <n v="9.4045039421258068"/>
    <n v="8.6646187698782757"/>
    <n v="7.6646187698782757"/>
    <n v="9.732670607200431"/>
  </r>
  <r>
    <n v="1984"/>
    <n v="481"/>
    <n v="356"/>
    <n v="40681"/>
    <n v="63111"/>
    <n v="258"/>
    <s v="#NowPlaying"/>
    <s v="Null"/>
    <x v="0"/>
    <s v="Before"/>
    <n v="9.40275837475839"/>
    <n v="7.3965727156648198"/>
    <n v="6.3965727156648198"/>
    <n v="7.5686438386470334"/>
  </r>
  <r>
    <n v="3004"/>
    <n v="415"/>
    <n v="218"/>
    <n v="36090"/>
    <n v="37073"/>
    <n v="181"/>
    <s v="#DiscoverWeekly"/>
    <s v="Null"/>
    <x v="1"/>
    <s v="Before"/>
    <n v="9.4125664738819808"/>
    <n v="7.7500945442794551"/>
    <n v="6.7500945442794551"/>
    <n v="10.579107786090331"/>
  </r>
  <r>
    <n v="3169"/>
    <n v="386"/>
    <n v="175"/>
    <n v="45012"/>
    <n v="38508"/>
    <n v="218"/>
    <s v="#NowPlaying"/>
    <s v="Null"/>
    <x v="0"/>
    <s v="Before"/>
    <n v="9.4062947463969895"/>
    <n v="8.3470859659123686"/>
    <n v="7.3470859659123686"/>
    <n v="8.7709944014929349"/>
  </r>
  <r>
    <n v="3036"/>
    <n v="293"/>
    <n v="115"/>
    <n v="23776"/>
    <n v="46386"/>
    <n v="282"/>
    <s v="#NowPlaying"/>
    <s v="Null"/>
    <x v="0"/>
    <s v="Before"/>
    <n v="9.4097288023153869"/>
    <n v="8.0042466539501529"/>
    <n v="7.0042466539501529"/>
    <n v="15.671265141318976"/>
  </r>
  <r>
    <n v="1830"/>
    <n v="112"/>
    <n v="181"/>
    <n v="31870"/>
    <n v="55742"/>
    <n v="263"/>
    <s v="#SoundtrackOfLife"/>
    <s v="#NowPlaying"/>
    <x v="0"/>
    <s v="Before"/>
    <n v="9.3756987135164565"/>
    <n v="8.4598104435419863"/>
    <n v="7.4598104435419863"/>
    <n v="7.4866645748352685"/>
  </r>
  <r>
    <n v="2587"/>
    <n v="447"/>
    <n v="183"/>
    <n v="36266"/>
    <n v="32877"/>
    <n v="132"/>
    <s v="#DiscoverWeekly"/>
    <s v="#MusicForEveryone"/>
    <x v="0"/>
    <s v="Before"/>
    <n v="9.3860213044382128"/>
    <n v="11.581711711027326"/>
    <n v="10.581711711027326"/>
    <n v="9.234544752660895"/>
  </r>
  <r>
    <n v="2878"/>
    <n v="265"/>
    <n v="91"/>
    <n v="52090"/>
    <n v="28924"/>
    <n v="133"/>
    <s v="#NowPlaying"/>
    <s v="Null"/>
    <x v="0"/>
    <s v="Before"/>
    <n v="9.3868535931842416"/>
    <n v="10.909763042528121"/>
    <n v="9.9097630425281213"/>
    <n v="6.4638126319831066"/>
  </r>
  <r>
    <n v="4619"/>
    <n v="272"/>
    <n v="57"/>
    <n v="21334"/>
    <n v="46292"/>
    <n v="91"/>
    <s v="#SoundtrackOfLife"/>
    <s v="#NowPlaying"/>
    <x v="0"/>
    <s v="Before"/>
    <n v="9.4030029907599371"/>
    <n v="10.20508104207099"/>
    <n v="9.2050810420709901"/>
    <n v="23.619574388300364"/>
  </r>
  <r>
    <n v="4090"/>
    <n v="209"/>
    <n v="278"/>
    <n v="52853"/>
    <n v="57084"/>
    <n v="102"/>
    <s v="#SoundtrackOfLife"/>
    <s v="Null"/>
    <x v="1"/>
    <s v="Before"/>
    <n v="9.3240220385513819"/>
    <n v="9.8524253490081097"/>
    <n v="8.8524253490081097"/>
    <n v="8.8528560346621763"/>
  </r>
  <r>
    <n v="3882"/>
    <n v="342"/>
    <n v="374"/>
    <n v="41991"/>
    <n v="48554"/>
    <n v="118"/>
    <s v="#DiscoverWeekly"/>
    <s v="#SoundtrackOfLife"/>
    <x v="3"/>
    <s v="Before"/>
    <n v="9.3266542508636121"/>
    <n v="10.368221662699339"/>
    <n v="9.3682216626993391"/>
    <n v="11.230978066728586"/>
  </r>
  <r>
    <n v="4581"/>
    <n v="181"/>
    <n v="112"/>
    <n v="35221"/>
    <n v="28797"/>
    <n v="164"/>
    <s v="#SoundtrackOfLife"/>
    <s v="#NowPlaying"/>
    <x v="0"/>
    <s v="Before"/>
    <n v="9.3159558024598752"/>
    <n v="8.4156608756201212"/>
    <n v="7.4156608756201212"/>
    <n v="14.303966383691547"/>
  </r>
  <r>
    <n v="3253"/>
    <n v="483"/>
    <n v="336"/>
    <n v="25397"/>
    <n v="51485"/>
    <n v="131"/>
    <s v="#DiscoverWeekly"/>
    <s v="Null"/>
    <x v="1"/>
    <s v="During"/>
    <n v="9.2877749517184558"/>
    <n v="8.894908863055317"/>
    <n v="7.894908863055317"/>
    <n v="16.549198724258769"/>
  </r>
  <r>
    <n v="4955"/>
    <n v="299"/>
    <n v="345"/>
    <n v="33644"/>
    <n v="43547"/>
    <n v="194"/>
    <s v="#DiscoverWeekly"/>
    <s v="#SoundtrackOfLife"/>
    <x v="3"/>
    <s v="Before"/>
    <n v="9.2877749517184558"/>
    <n v="9.9058563491749361"/>
    <n v="8.9058563491749361"/>
    <n v="17.218523362263703"/>
  </r>
  <r>
    <n v="1333"/>
    <n v="286"/>
    <n v="298"/>
    <n v="36174"/>
    <n v="34517"/>
    <n v="170"/>
    <s v="#SoundtrackOfLife"/>
    <s v="#NowPlaying"/>
    <x v="0"/>
    <s v="Before"/>
    <n v="9.2427138812039953"/>
    <n v="9.4628373731063622"/>
    <n v="8.4628373731063622"/>
    <n v="5.7693370929396801"/>
  </r>
  <r>
    <n v="1616"/>
    <n v="360"/>
    <n v="180"/>
    <n v="54342"/>
    <n v="18796"/>
    <n v="282"/>
    <s v="#SoundtrackOfLife"/>
    <s v="#NowPlaying"/>
    <x v="0"/>
    <s v="Before"/>
    <n v="9.2625617485655027"/>
    <n v="9.6101426923811744"/>
    <n v="8.6101426923811744"/>
    <n v="4.4864009421810023"/>
  </r>
  <r>
    <n v="1803"/>
    <n v="273"/>
    <n v="287"/>
    <n v="46176"/>
    <n v="25488"/>
    <n v="141"/>
    <s v="#NowPlaying"/>
    <s v="Null"/>
    <x v="0"/>
    <s v="Before"/>
    <n v="9.2900109486021964"/>
    <n v="8.397059332633356"/>
    <n v="7.397059332633356"/>
    <n v="5.4227304227304227"/>
  </r>
  <r>
    <n v="4177"/>
    <n v="489"/>
    <n v="331"/>
    <n v="57451"/>
    <n v="73793"/>
    <n v="251"/>
    <s v="#DiscoverWeekly"/>
    <s v="Null"/>
    <x v="1"/>
    <s v="Before"/>
    <n v="9.3123651712950952"/>
    <n v="10.384846819296596"/>
    <n v="9.3848468192965964"/>
    <n v="9.1347409096447407"/>
  </r>
  <r>
    <n v="1311"/>
    <n v="181"/>
    <n v="361"/>
    <n v="37148"/>
    <n v="44875"/>
    <n v="245"/>
    <s v="#NowPlaying"/>
    <s v="Null"/>
    <x v="2"/>
    <s v="Before"/>
    <n v="9.3133978704907374"/>
    <n v="7.1149708947648378"/>
    <n v="6.1149708947648378"/>
    <n v="5.647679552062022"/>
  </r>
  <r>
    <n v="1516"/>
    <n v="215"/>
    <n v="332"/>
    <n v="58981"/>
    <n v="36118"/>
    <n v="211"/>
    <s v="#NowPlaying"/>
    <s v="Null"/>
    <x v="2"/>
    <s v="Before"/>
    <n v="9.3348348197213138"/>
    <n v="11.282737453589345"/>
    <n v="10.282737453589345"/>
    <n v="3.8554788830301288"/>
  </r>
  <r>
    <n v="2023"/>
    <n v="124"/>
    <n v="99"/>
    <n v="54524"/>
    <n v="34790"/>
    <n v="195"/>
    <s v="#DiscoverWeekly"/>
    <s v="#MusicForEveryone"/>
    <x v="0"/>
    <s v="Before"/>
    <n v="9.3670663252312618"/>
    <n v="11.331450177009771"/>
    <n v="10.331450177009771"/>
    <n v="4.4769275915193312"/>
  </r>
  <r>
    <n v="2134"/>
    <n v="322"/>
    <n v="114"/>
    <n v="44338"/>
    <n v="52165"/>
    <n v="176"/>
    <s v="#MusicForEveryone"/>
    <s v="#NowPlaying"/>
    <x v="0"/>
    <s v="Before"/>
    <n v="9.396002057383404"/>
    <n v="7.1874507609522631"/>
    <n v="6.1874507609522631"/>
    <n v="6.1933330326131086"/>
  </r>
  <r>
    <n v="2266"/>
    <n v="126"/>
    <n v="140"/>
    <n v="53759"/>
    <n v="46834"/>
    <n v="277"/>
    <s v="#DiscoverWeekly"/>
    <s v="Null"/>
    <x v="1"/>
    <s v="Before"/>
    <n v="9.4150655634832301"/>
    <n v="9.0620453688226341"/>
    <n v="8.0620453688226341"/>
    <n v="5.2251715991740912"/>
  </r>
  <r>
    <n v="3916"/>
    <n v="459"/>
    <n v="229"/>
    <n v="48989"/>
    <n v="39768"/>
    <n v="200"/>
    <s v="#NowPlaying"/>
    <s v="Null"/>
    <x v="2"/>
    <s v="Before"/>
    <n v="9.4401547488982533"/>
    <n v="10.161844321750634"/>
    <n v="9.1618443217506336"/>
    <n v="9.8062830431321313"/>
  </r>
  <r>
    <n v="1022"/>
    <n v="463"/>
    <n v="360"/>
    <n v="51468"/>
    <n v="24279"/>
    <n v="230"/>
    <s v="#DiscoverWeekly"/>
    <s v="#MusicForEveryone"/>
    <x v="0"/>
    <s v="Before"/>
    <n v="9.4379491567643132"/>
    <n v="7.1627053809993662"/>
    <n v="6.1627053809993662"/>
    <n v="4.0316313048884744"/>
  </r>
  <r>
    <n v="2911"/>
    <n v="467"/>
    <n v="94"/>
    <n v="59083"/>
    <n v="49762"/>
    <n v="236"/>
    <s v="#DiscoverWeekly"/>
    <s v="#SpotifyWrapped"/>
    <x v="1"/>
    <s v="Before"/>
    <n v="9.470714719502956"/>
    <n v="9.6534117427300306"/>
    <n v="8.6534117427300306"/>
    <n v="6.2759169304199185"/>
  </r>
  <r>
    <n v="3277"/>
    <n v="423"/>
    <n v="259"/>
    <n v="46328"/>
    <n v="44293"/>
    <n v="299"/>
    <s v="#SoundtrackOfLife"/>
    <s v="#NowPlaying"/>
    <x v="0"/>
    <s v="Before"/>
    <n v="9.4901951938266329"/>
    <n v="12.25088705209113"/>
    <n v="11.25088705209113"/>
    <n v="9.1909860127784491"/>
  </r>
  <r>
    <n v="2956"/>
    <n v="381"/>
    <n v="345"/>
    <n v="33347"/>
    <n v="22558"/>
    <n v="173"/>
    <s v="#NowPlaying"/>
    <s v="Null"/>
    <x v="0"/>
    <s v="Before"/>
    <n v="9.4920308329741676"/>
    <n v="9.5687530157396736"/>
    <n v="8.5687530157396736"/>
    <n v="11.560260293279754"/>
  </r>
  <r>
    <n v="3208"/>
    <n v="476"/>
    <n v="277"/>
    <n v="56072"/>
    <n v="21061"/>
    <n v="113"/>
    <s v="#MusicForEveryone"/>
    <s v="#NowPlaying"/>
    <x v="0"/>
    <s v="Before"/>
    <n v="9.4792639844537607"/>
    <n v="9.4099070775377758"/>
    <n v="8.4099070775377758"/>
    <n v="7.2656584391496652"/>
  </r>
  <r>
    <n v="1456"/>
    <n v="265"/>
    <n v="137"/>
    <n v="53485"/>
    <n v="59729"/>
    <n v="145"/>
    <s v="#SoundtrackOfLife"/>
    <s v="Null"/>
    <x v="1"/>
    <s v="Before"/>
    <n v="9.4930130872196248"/>
    <n v="10.377988007824456"/>
    <n v="9.377988007824456"/>
    <n v="3.7449752266990743"/>
  </r>
  <r>
    <n v="1902"/>
    <n v="394"/>
    <n v="279"/>
    <n v="24615"/>
    <n v="51330"/>
    <n v="176"/>
    <s v="#SoundtrackOfLife"/>
    <s v="#NowPlaying"/>
    <x v="0"/>
    <s v="Before"/>
    <n v="9.5289383238478784"/>
    <n v="10.058583894812617"/>
    <n v="9.0585838948126174"/>
    <n v="11.176112126751981"/>
  </r>
  <r>
    <n v="3219"/>
    <n v="424"/>
    <n v="267"/>
    <n v="48879"/>
    <n v="37691"/>
    <n v="224"/>
    <s v="#DiscoverWeekly"/>
    <s v="#MusicForEveryone"/>
    <x v="0"/>
    <s v="Before"/>
    <n v="9.518578740181816"/>
    <n v="10.283766241383697"/>
    <n v="9.283766241383697"/>
    <n v="8.4576198367397044"/>
  </r>
  <r>
    <n v="1261"/>
    <n v="190"/>
    <n v="233"/>
    <n v="59888"/>
    <n v="51449"/>
    <n v="205"/>
    <s v="#DiscoverWeekly"/>
    <s v="#SpotifyWrapped"/>
    <x v="1"/>
    <s v="Before"/>
    <n v="9.5252936699504396"/>
    <n v="10.120338766075601"/>
    <n v="9.1203387660756015"/>
    <n v="3.1542212129308043"/>
  </r>
  <r>
    <n v="1564"/>
    <n v="362"/>
    <n v="371"/>
    <n v="42075"/>
    <n v="66659"/>
    <n v="205"/>
    <s v="#SoundtrackOfLife"/>
    <s v="Null"/>
    <x v="1"/>
    <s v="Before"/>
    <n v="9.5658737492945143"/>
    <n v="8.3239655892426434"/>
    <n v="7.3239655892426434"/>
    <n v="5.9465240641711228"/>
  </r>
  <r>
    <n v="4006"/>
    <n v="420"/>
    <n v="194"/>
    <n v="49964"/>
    <n v="20685"/>
    <n v="148"/>
    <s v="#NowPlaying"/>
    <s v="Null"/>
    <x v="0"/>
    <s v="Before"/>
    <n v="9.5890747088145361"/>
    <n v="7.1797031539050113"/>
    <n v="6.1797031539050113"/>
    <n v="9.5428708670242575"/>
  </r>
  <r>
    <n v="1976"/>
    <n v="262"/>
    <n v="218"/>
    <n v="51696"/>
    <n v="44846"/>
    <n v="139"/>
    <s v="#DiscoverWeekly"/>
    <s v="#SpotifyWrapped"/>
    <x v="1"/>
    <s v="Before"/>
    <n v="9.5893727981164059"/>
    <n v="10.624608803536509"/>
    <n v="9.6246088035365087"/>
    <n v="5.0197307335190349"/>
  </r>
  <r>
    <n v="1583"/>
    <n v="433"/>
    <n v="249"/>
    <n v="30256"/>
    <n v="47066"/>
    <n v="196"/>
    <s v="#NowPlaying"/>
    <s v="Null"/>
    <x v="0"/>
    <s v="Before"/>
    <n v="9.6190457985358737"/>
    <n v="8.0826622706883118"/>
    <n v="7.0826622706883118"/>
    <n v="8.1339238498149129"/>
  </r>
  <r>
    <n v="2870"/>
    <n v="380"/>
    <n v="393"/>
    <n v="37621"/>
    <n v="71794"/>
    <n v="127"/>
    <s v="#MusicForEveryone"/>
    <s v="#NowPlaying"/>
    <x v="0"/>
    <s v="Before"/>
    <n v="9.6287524779392744"/>
    <n v="6.8933574009318352"/>
    <n v="5.8933574009318352"/>
    <n v="10.020998910183142"/>
  </r>
  <r>
    <n v="3728"/>
    <n v="271"/>
    <n v="275"/>
    <n v="22827"/>
    <n v="37034"/>
    <n v="199"/>
    <s v="#NowPlaying"/>
    <s v="Null"/>
    <x v="0"/>
    <s v="Before"/>
    <n v="9.6261719093060911"/>
    <n v="7.0121710339616792"/>
    <n v="6.0121710339616792"/>
    <n v="19.595216191352346"/>
  </r>
  <r>
    <n v="4965"/>
    <n v="175"/>
    <n v="307"/>
    <n v="32793"/>
    <n v="43412"/>
    <n v="296"/>
    <s v="#SoundtrackOfLife"/>
    <s v="#NowPlaying"/>
    <x v="0"/>
    <s v="Before"/>
    <n v="9.5601517484978409"/>
    <n v="11.141813643874301"/>
    <n v="10.141813643874301"/>
    <n v="17.512883847162506"/>
  </r>
  <r>
    <n v="1131"/>
    <n v="100"/>
    <n v="116"/>
    <n v="48437"/>
    <n v="72704"/>
    <n v="236"/>
    <s v="#DiscoverWeekly"/>
    <s v="#MusicForEveryone"/>
    <x v="0"/>
    <s v="Before"/>
    <n v="9.5071335345067443"/>
    <n v="10.600167669130984"/>
    <n v="9.6001676691309843"/>
    <n v="3.2681627681318002"/>
  </r>
  <r>
    <n v="2754"/>
    <n v="215"/>
    <n v="264"/>
    <n v="27762"/>
    <n v="70203"/>
    <n v="289"/>
    <s v="#NowPlaying"/>
    <s v="Null"/>
    <x v="0"/>
    <s v="Before"/>
    <n v="9.5490058215293949"/>
    <n v="15.10293484613816"/>
    <n v="14.10293484613816"/>
    <n v="12.686405878539009"/>
  </r>
  <r>
    <n v="1856"/>
    <n v="357"/>
    <n v="348"/>
    <n v="29428"/>
    <n v="70206"/>
    <n v="236"/>
    <s v="#MusicForEveryone"/>
    <s v="#NowPlaying"/>
    <x v="0"/>
    <s v="Before"/>
    <n v="9.5278071724955424"/>
    <n v="10.536793271008571"/>
    <n v="9.5367932710085714"/>
    <n v="9.5045534864754657"/>
  </r>
  <r>
    <n v="3543"/>
    <n v="334"/>
    <n v="218"/>
    <n v="58007"/>
    <n v="24792"/>
    <n v="273"/>
    <s v="#DiscoverWeekly"/>
    <s v="#SoundtrackOfLife"/>
    <x v="3"/>
    <s v="Before"/>
    <n v="9.5279653608358128"/>
    <n v="9.3815997530193016"/>
    <n v="8.3815997530193016"/>
    <n v="7.5301256744875618"/>
  </r>
  <r>
    <n v="4563"/>
    <n v="398"/>
    <n v="163"/>
    <n v="43679"/>
    <n v="48760"/>
    <n v="92"/>
    <s v="#NowPlaying"/>
    <s v="Null"/>
    <x v="2"/>
    <s v="Before"/>
    <n v="9.5416491943039539"/>
    <n v="11.445190249484515"/>
    <n v="10.445190249484515"/>
    <n v="11.941665331166007"/>
  </r>
  <r>
    <n v="4283"/>
    <n v="471"/>
    <n v="156"/>
    <n v="53004"/>
    <n v="25678"/>
    <n v="105"/>
    <s v="#DiscoverWeekly"/>
    <s v="Null"/>
    <x v="1"/>
    <s v="During"/>
    <n v="9.5250973588773213"/>
    <n v="11.14397980460544"/>
    <n v="10.14397980460544"/>
    <n v="9.4615500716927023"/>
  </r>
  <r>
    <n v="2329"/>
    <n v="373"/>
    <n v="291"/>
    <n v="49577"/>
    <n v="28002"/>
    <n v="82"/>
    <s v="#SoundtrackOfLife"/>
    <s v="#NowPlaying"/>
    <x v="0"/>
    <s v="Before"/>
    <n v="9.5250973588773213"/>
    <n v="9.1852254438880241"/>
    <n v="8.1852254438880241"/>
    <n v="6.2024729209109069"/>
  </r>
  <r>
    <n v="4287"/>
    <n v="273"/>
    <n v="122"/>
    <n v="40792"/>
    <n v="23878"/>
    <n v="277"/>
    <s v="#MusicForEveryone"/>
    <s v="#NowPlaying"/>
    <x v="0"/>
    <s v="Before"/>
    <n v="9.5481711396965316"/>
    <n v="9.820781785656667"/>
    <n v="8.820781785656667"/>
    <n v="12.156795450088252"/>
  </r>
  <r>
    <n v="2633"/>
    <n v="318"/>
    <n v="380"/>
    <n v="40869"/>
    <n v="64474"/>
    <n v="245"/>
    <s v="#DiscoverWeekly"/>
    <s v="Null"/>
    <x v="1"/>
    <s v="Before"/>
    <n v="9.5299290116518343"/>
    <n v="8.64272527564966"/>
    <n v="7.64272527564966"/>
    <n v="8.7499082434118769"/>
  </r>
  <r>
    <n v="2383"/>
    <n v="136"/>
    <n v="302"/>
    <n v="39187"/>
    <n v="22133"/>
    <n v="208"/>
    <s v="#MusicForEveryone"/>
    <s v="#NowPlaying"/>
    <x v="0"/>
    <s v="Before"/>
    <n v="9.5354221156535228"/>
    <n v="9.3517510281393648"/>
    <n v="8.3517510281393648"/>
    <n v="7.7296042054763063"/>
  </r>
  <r>
    <n v="4752"/>
    <n v="334"/>
    <n v="56"/>
    <n v="48017"/>
    <n v="55534"/>
    <n v="270"/>
    <s v="#DiscoverWeekly"/>
    <s v="#MusicForEveryone"/>
    <x v="0"/>
    <s v="Before"/>
    <n v="9.548229334874641"/>
    <n v="9.8602984557740729"/>
    <n v="8.8602984557740729"/>
    <n v="11.271008184601287"/>
  </r>
  <r>
    <n v="3890"/>
    <n v="408"/>
    <n v="338"/>
    <n v="56994"/>
    <n v="32621"/>
    <n v="286"/>
    <s v="#SoundtrackOfLife"/>
    <s v="Null"/>
    <x v="1"/>
    <s v="Before"/>
    <n v="9.535923771662306"/>
    <n v="8.5856361931019016"/>
    <n v="7.5856361931019016"/>
    <n v="8.6359967715899923"/>
  </r>
  <r>
    <n v="2311"/>
    <n v="207"/>
    <n v="363"/>
    <n v="30349"/>
    <n v="32925"/>
    <n v="88"/>
    <s v="#MusicForEveryone"/>
    <s v="#NowPlaying"/>
    <x v="0"/>
    <s v="Before"/>
    <n v="9.5423980666268555"/>
    <n v="8.1468827481192125"/>
    <n v="7.1468827481192125"/>
    <n v="9.7828594022867303"/>
  </r>
  <r>
    <n v="2962"/>
    <n v="400"/>
    <n v="280"/>
    <n v="52508"/>
    <n v="58329"/>
    <n v="219"/>
    <s v="#NowPlaying"/>
    <s v="Null"/>
    <x v="2"/>
    <s v="Before"/>
    <n v="9.5406555931800447"/>
    <n v="10.561810222888175"/>
    <n v="9.5618102228881749"/>
    <n v="7.3531652319646534"/>
  </r>
  <r>
    <n v="3118"/>
    <n v="116"/>
    <n v="195"/>
    <n v="37100"/>
    <n v="62629"/>
    <n v="272"/>
    <s v="#DiscoverWeekly"/>
    <s v="Null"/>
    <x v="1"/>
    <s v="Before"/>
    <n v="9.5566226761086277"/>
    <n v="10.012660379760414"/>
    <n v="9.0126603797604137"/>
    <n v="9.9757412398921836"/>
  </r>
  <r>
    <n v="3805"/>
    <n v="453"/>
    <n v="63"/>
    <n v="52395"/>
    <n v="72934"/>
    <n v="87"/>
    <s v="#DiscoverWeekly"/>
    <s v="#MusicForEveryone"/>
    <x v="0"/>
    <s v="Before"/>
    <n v="9.55354092196316"/>
    <n v="9.7483413077721952"/>
    <n v="8.7483413077721952"/>
    <n v="8.4130165092088944"/>
  </r>
  <r>
    <n v="2525"/>
    <n v="272"/>
    <n v="294"/>
    <n v="51875"/>
    <n v="24732"/>
    <n v="92"/>
    <s v="#DiscoverWeekly"/>
    <s v="Null"/>
    <x v="1"/>
    <s v="Before"/>
    <n v="9.5619892509465227"/>
    <n v="9.3738028569912029"/>
    <n v="8.3738028569912029"/>
    <n v="6.1359036144578312"/>
  </r>
  <r>
    <n v="3563"/>
    <n v="483"/>
    <n v="227"/>
    <n v="41085"/>
    <n v="26393"/>
    <n v="236"/>
    <s v="#SoundtrackOfLife"/>
    <s v="#NowPlaying"/>
    <x v="0"/>
    <s v="Before"/>
    <n v="9.5875570542039021"/>
    <n v="9.1090091479959145"/>
    <n v="8.1090091479959145"/>
    <n v="10.974808324205915"/>
  </r>
  <r>
    <n v="1437"/>
    <n v="494"/>
    <n v="129"/>
    <n v="53048"/>
    <n v="44090"/>
    <n v="230"/>
    <s v="#DiscoverWeekly"/>
    <s v="#SoundtrackOfLife"/>
    <x v="3"/>
    <s v="Before"/>
    <n v="9.5771265935271934"/>
    <n v="8.2695088231545135"/>
    <n v="7.2695088231545135"/>
    <n v="4.3168451213994876"/>
  </r>
  <r>
    <n v="4425"/>
    <n v="185"/>
    <n v="162"/>
    <n v="24610"/>
    <n v="21342"/>
    <n v="158"/>
    <s v="#DiscoverWeekly"/>
    <s v="#SpotifyWrapped"/>
    <x v="1"/>
    <s v="Before"/>
    <n v="9.6169772107402807"/>
    <n v="8.0677023130806393"/>
    <n v="7.0677023130806393"/>
    <n v="20.032507110930517"/>
  </r>
  <r>
    <n v="4609"/>
    <n v="427"/>
    <n v="395"/>
    <n v="33698"/>
    <n v="29259"/>
    <n v="216"/>
    <s v="#DiscoverWeekly"/>
    <s v="#MusicForEveryone"/>
    <x v="0"/>
    <s v="Before"/>
    <n v="9.5374693489067717"/>
    <n v="10.306864637963246"/>
    <n v="9.3068646379632458"/>
    <n v="16.757671078402279"/>
  </r>
  <r>
    <n v="1558"/>
    <n v="352"/>
    <n v="202"/>
    <n v="25405"/>
    <n v="69941"/>
    <n v="219"/>
    <s v="#NowPlaying"/>
    <s v="Null"/>
    <x v="2"/>
    <s v="Before"/>
    <n v="9.4819293356029579"/>
    <n v="12.208674162311581"/>
    <n v="11.208674162311581"/>
    <n v="9.1753591812635307"/>
  </r>
  <r>
    <n v="1889"/>
    <n v="298"/>
    <n v="122"/>
    <n v="46225"/>
    <n v="74305"/>
    <n v="293"/>
    <s v="#DiscoverWeekly"/>
    <s v="#SoundtrackOfLife"/>
    <x v="3"/>
    <s v="Before"/>
    <n v="9.4843058484272955"/>
    <n v="8.5218089457114292"/>
    <n v="7.5218089457114292"/>
    <n v="5.6289886425094648"/>
  </r>
  <r>
    <n v="3086"/>
    <n v="148"/>
    <n v="310"/>
    <n v="22824"/>
    <n v="58103"/>
    <n v="275"/>
    <s v="#DiscoverWeekly"/>
    <s v="Null"/>
    <x v="1"/>
    <s v="Before"/>
    <n v="9.5144255140985301"/>
    <n v="6.5499622365830765"/>
    <n v="5.5499622365830765"/>
    <n v="16.732386961093585"/>
  </r>
  <r>
    <n v="2422"/>
    <n v="318"/>
    <n v="118"/>
    <n v="25386"/>
    <n v="20873"/>
    <n v="100"/>
    <s v="#SoundtrackOfLife"/>
    <s v="#NowPlaying"/>
    <x v="0"/>
    <s v="Before"/>
    <n v="9.4575911719962065"/>
    <n v="10.327845657068453"/>
    <n v="9.3278456570684529"/>
    <n v="11.652091704088868"/>
  </r>
  <r>
    <n v="3414"/>
    <n v="154"/>
    <n v="204"/>
    <n v="34146"/>
    <n v="44633"/>
    <n v="256"/>
    <s v="#DiscoverWeekly"/>
    <s v="#SoundtrackOfLife"/>
    <x v="3"/>
    <s v="Before"/>
    <n v="9.440174501106581"/>
    <n v="6.0751101166601629"/>
    <n v="5.0751101166601629"/>
    <n v="11.796403678322498"/>
  </r>
  <r>
    <n v="1342"/>
    <n v="332"/>
    <n v="163"/>
    <n v="51712"/>
    <n v="57922"/>
    <n v="168"/>
    <s v="#NowPlaying"/>
    <s v="Null"/>
    <x v="2"/>
    <s v="Before"/>
    <n v="9.421324667688852"/>
    <n v="10.056312805489737"/>
    <n v="9.0563128054897373"/>
    <n v="3.8772431930693068"/>
  </r>
  <r>
    <n v="2414"/>
    <n v="220"/>
    <n v="280"/>
    <n v="27355"/>
    <n v="50562"/>
    <n v="258"/>
    <s v="#NowPlaying"/>
    <s v="Null"/>
    <x v="2"/>
    <s v="Before"/>
    <n v="9.4660350021615915"/>
    <n v="10.504949682254038"/>
    <n v="9.504949682254038"/>
    <n v="11.595686346188996"/>
  </r>
  <r>
    <n v="4383"/>
    <n v="352"/>
    <n v="176"/>
    <n v="53239"/>
    <n v="34168"/>
    <n v="288"/>
    <s v="#DiscoverWeekly"/>
    <s v="Null"/>
    <x v="1"/>
    <s v="Before"/>
    <n v="9.448720763592263"/>
    <n v="6.3705557152931549"/>
    <n v="5.3705557152931549"/>
    <n v="9.7653975469110996"/>
  </r>
  <r>
    <n v="4294"/>
    <n v="423"/>
    <n v="93"/>
    <n v="29828"/>
    <n v="73144"/>
    <n v="298"/>
    <s v="#DiscoverWeekly"/>
    <s v="#SpotifyWrapped"/>
    <x v="1"/>
    <s v="Before"/>
    <n v="9.4461250522535849"/>
    <n v="11.024356664511657"/>
    <n v="10.024356664511657"/>
    <n v="17.1248491350409"/>
  </r>
  <r>
    <n v="2762"/>
    <n v="339"/>
    <n v="323"/>
    <n v="33757"/>
    <n v="68511"/>
    <n v="121"/>
    <s v="#SoundtrackOfLife"/>
    <s v="#NowPlaying"/>
    <x v="0"/>
    <s v="Before"/>
    <n v="9.3826645226437702"/>
    <n v="11.210055876660475"/>
    <n v="10.210055876660475"/>
    <n v="10.501525609503213"/>
  </r>
  <r>
    <n v="3782"/>
    <n v="484"/>
    <n v="144"/>
    <n v="52172"/>
    <n v="59386"/>
    <n v="175"/>
    <s v="#DiscoverWeekly"/>
    <s v="#SpotifyWrapped"/>
    <x v="1"/>
    <s v="Before"/>
    <n v="9.3733406802532766"/>
    <n v="10.905480704146035"/>
    <n v="9.9054807041460347"/>
    <n v="8.7882389020930756"/>
  </r>
  <r>
    <n v="4318"/>
    <n v="371"/>
    <n v="329"/>
    <n v="32347"/>
    <n v="68956"/>
    <n v="259"/>
    <s v="#SoundtrackOfLife"/>
    <s v="Null"/>
    <x v="1"/>
    <s v="Before"/>
    <n v="9.3782575019184904"/>
    <n v="13.070429546001462"/>
    <n v="12.070429546001462"/>
    <n v="16.313723065508391"/>
  </r>
  <r>
    <n v="2335"/>
    <n v="150"/>
    <n v="75"/>
    <n v="26114"/>
    <n v="57549"/>
    <n v="135"/>
    <s v="#NowPlaying"/>
    <s v="Null"/>
    <x v="2"/>
    <s v="Before"/>
    <n v="9.3194823700236604"/>
    <n v="11.376705325823778"/>
    <n v="10.376705325823778"/>
    <n v="10.320134793597305"/>
  </r>
  <r>
    <n v="4023"/>
    <n v="293"/>
    <n v="91"/>
    <n v="26795"/>
    <n v="28924"/>
    <n v="278"/>
    <s v="#DiscoverWeekly"/>
    <s v="#SpotifyWrapped"/>
    <x v="1"/>
    <s v="Before"/>
    <n v="9.3109297852067936"/>
    <n v="10.356921359150091"/>
    <n v="9.3569213591500908"/>
    <n v="17.484605336816568"/>
  </r>
  <r>
    <n v="3948"/>
    <n v="151"/>
    <n v="249"/>
    <n v="43147"/>
    <n v="63136"/>
    <n v="230"/>
    <s v="#DiscoverWeekly"/>
    <s v="Null"/>
    <x v="1"/>
    <s v="Before"/>
    <n v="9.2404670649342933"/>
    <n v="10.4287448960301"/>
    <n v="9.4287448960300999"/>
    <n v="10.610239414095997"/>
  </r>
  <r>
    <n v="4598"/>
    <n v="455"/>
    <n v="378"/>
    <n v="52952"/>
    <n v="58504"/>
    <n v="269"/>
    <s v="#DiscoverWeekly"/>
    <s v="#SpotifyWrapped"/>
    <x v="1"/>
    <s v="Before"/>
    <n v="9.2285560010285401"/>
    <n v="10.407299558449093"/>
    <n v="9.4072995584490933"/>
    <n v="10.764465931409578"/>
  </r>
  <r>
    <n v="2665"/>
    <n v="143"/>
    <n v="315"/>
    <n v="54808"/>
    <n v="29818"/>
    <n v="98"/>
    <s v="#DiscoverWeekly"/>
    <s v="#MusicForEveryone"/>
    <x v="0"/>
    <s v="Before"/>
    <n v="9.2150831069023909"/>
    <n v="9.8851069272059728"/>
    <n v="8.8851069272059728"/>
    <n v="5.8768792876952265"/>
  </r>
  <r>
    <n v="3469"/>
    <n v="371"/>
    <n v="76"/>
    <n v="46493"/>
    <n v="26906"/>
    <n v="150"/>
    <s v="#SoundtrackOfLife"/>
    <s v="#NowPlaying"/>
    <x v="0"/>
    <s v="During"/>
    <n v="9.2446247336210376"/>
    <n v="6.7370586429858266"/>
    <n v="5.7370586429858266"/>
    <n v="8.7454025337147527"/>
  </r>
  <r>
    <n v="4823"/>
    <n v="489"/>
    <n v="302"/>
    <n v="32470"/>
    <n v="31861"/>
    <n v="178"/>
    <s v="#SoundtrackOfLife"/>
    <s v="Null"/>
    <x v="1"/>
    <s v="Before"/>
    <n v="9.2446247336210376"/>
    <n v="11.949631455565687"/>
    <n v="10.949631455565687"/>
    <n v="17.838004311672311"/>
  </r>
  <r>
    <n v="3812"/>
    <n v="321"/>
    <n v="289"/>
    <n v="59838"/>
    <n v="36337"/>
    <n v="161"/>
    <s v="#NowPlaying"/>
    <s v="Null"/>
    <x v="2"/>
    <s v="Before"/>
    <n v="9.1678981302455789"/>
    <n v="7.3599846005461851"/>
    <n v="6.3599846005461851"/>
    <n v="7.6590126675356789"/>
  </r>
  <r>
    <n v="2387"/>
    <n v="353"/>
    <n v="78"/>
    <n v="39745"/>
    <n v="69226"/>
    <n v="208"/>
    <s v="#SoundtrackOfLife"/>
    <s v="Null"/>
    <x v="1"/>
    <s v="Before"/>
    <n v="9.1814916929726955"/>
    <n v="7.2361721849462812"/>
    <n v="6.2361721849462812"/>
    <n v="7.6135362938734437"/>
  </r>
  <r>
    <n v="3929"/>
    <n v="275"/>
    <n v="330"/>
    <n v="58329"/>
    <n v="33196"/>
    <n v="85"/>
    <s v="#MusicForEveryone"/>
    <s v="#NowPlaying"/>
    <x v="0"/>
    <s v="Before"/>
    <n v="9.1957458329645068"/>
    <n v="10.11656122673809"/>
    <n v="9.1165612267380904"/>
    <n v="7.918873973495173"/>
  </r>
  <r>
    <n v="2191"/>
    <n v="288"/>
    <n v="83"/>
    <n v="59606"/>
    <n v="24765"/>
    <n v="281"/>
    <s v="#SoundtrackOfLife"/>
    <s v="Null"/>
    <x v="1"/>
    <s v="Before"/>
    <n v="9.2074602536935828"/>
    <n v="9.65714613680057"/>
    <n v="8.65714613680057"/>
    <n v="4.7696540616716439"/>
  </r>
  <r>
    <n v="2878"/>
    <n v="278"/>
    <n v="255"/>
    <n v="47235"/>
    <n v="57922"/>
    <n v="112"/>
    <s v="#SoundtrackOfLife"/>
    <s v="#NowPlaying"/>
    <x v="0"/>
    <s v="Before"/>
    <n v="9.2485510517678602"/>
    <n v="6.9185697935118329"/>
    <n v="5.9185697935118329"/>
    <n v="7.4584524187572772"/>
  </r>
  <r>
    <n v="3204"/>
    <n v="398"/>
    <n v="85"/>
    <n v="22020"/>
    <n v="58353"/>
    <n v="286"/>
    <s v="#SoundtrackOfLife"/>
    <s v="Null"/>
    <x v="1"/>
    <s v="Before"/>
    <n v="9.2652809455343146"/>
    <n v="9.6734916257026828"/>
    <n v="8.6734916257026828"/>
    <n v="18.042688465031791"/>
  </r>
  <r>
    <n v="2408"/>
    <n v="323"/>
    <n v="251"/>
    <n v="47599"/>
    <n v="35543"/>
    <n v="287"/>
    <s v="#MusicForEveryone"/>
    <s v="#NowPlaying"/>
    <x v="0"/>
    <s v="During"/>
    <n v="9.1824752142183002"/>
    <n v="8.8669784291038169"/>
    <n v="7.8669784291038169"/>
    <n v="6.8677913401542039"/>
  </r>
  <r>
    <n v="2733"/>
    <n v="297"/>
    <n v="235"/>
    <n v="37980"/>
    <n v="33058"/>
    <n v="219"/>
    <s v="#DiscoverWeekly"/>
    <s v="#SoundtrackOfLife"/>
    <x v="3"/>
    <s v="Before"/>
    <n v="9.1824752142183002"/>
    <n v="8.0130025921729811"/>
    <n v="7.0130025921729811"/>
    <n v="9.1732490784623497"/>
  </r>
  <r>
    <n v="4618"/>
    <n v="312"/>
    <n v="254"/>
    <n v="22571"/>
    <n v="29453"/>
    <n v="197"/>
    <s v="#MusicForEveryone"/>
    <s v="#NowPlaying"/>
    <x v="0"/>
    <s v="During"/>
    <n v="9.1825630821778805"/>
    <n v="10.455462267609629"/>
    <n v="9.4554622676096294"/>
    <n v="23.840326082140802"/>
  </r>
  <r>
    <n v="4210"/>
    <n v="319"/>
    <n v="350"/>
    <n v="37762"/>
    <n v="55162"/>
    <n v="204"/>
    <s v="#DiscoverWeekly"/>
    <s v="#SoundtrackOfLife"/>
    <x v="3"/>
    <s v="Before"/>
    <n v="9.1825630821778805"/>
    <n v="10.646790523301542"/>
    <n v="9.6467905233015419"/>
    <n v="13.460621789100152"/>
  </r>
  <r>
    <n v="3987"/>
    <n v="171"/>
    <n v="274"/>
    <n v="45122"/>
    <n v="65431"/>
    <n v="168"/>
    <s v="#DiscoverWeekly"/>
    <s v="Null"/>
    <x v="1"/>
    <s v="Before"/>
    <n v="9.1414279023036276"/>
    <n v="9.6262559475437079"/>
    <n v="8.6262559475437079"/>
    <n v="10.194583573423163"/>
  </r>
  <r>
    <n v="4957"/>
    <n v="262"/>
    <n v="365"/>
    <n v="49199"/>
    <n v="40314"/>
    <n v="216"/>
    <s v="#DiscoverWeekly"/>
    <s v="#SoundtrackOfLife"/>
    <x v="3"/>
    <s v="Before"/>
    <n v="9.1312030899626606"/>
    <n v="6.269286974175901"/>
    <n v="5.269286974175901"/>
    <n v="11.788857497103599"/>
  </r>
  <r>
    <n v="2605"/>
    <n v="282"/>
    <n v="148"/>
    <n v="32201"/>
    <n v="49583"/>
    <n v="241"/>
    <s v="#SoundtrackOfLife"/>
    <s v="#NowPlaying"/>
    <x v="0"/>
    <s v="Before"/>
    <n v="9.1051476545985341"/>
    <n v="9.5100576478201067"/>
    <n v="8.5100576478201067"/>
    <n v="10.173597093257973"/>
  </r>
  <r>
    <n v="4221"/>
    <n v="307"/>
    <n v="58"/>
    <n v="45080"/>
    <n v="37214"/>
    <n v="240"/>
    <s v="#DiscoverWeekly"/>
    <s v="#SoundtrackOfLife"/>
    <x v="3"/>
    <s v="Before"/>
    <n v="9.0945689472850759"/>
    <n v="7.368613088059023"/>
    <n v="6.368613088059023"/>
    <n v="10.705412599822537"/>
  </r>
  <r>
    <n v="4422"/>
    <n v="434"/>
    <n v="156"/>
    <n v="56165"/>
    <n v="52431"/>
    <n v="173"/>
    <s v="#DiscoverWeekly"/>
    <s v="#MusicForEveryone"/>
    <x v="0"/>
    <s v="Before"/>
    <n v="9.0784605107596992"/>
    <n v="7.7544713889474863"/>
    <n v="6.7544713889474863"/>
    <n v="9.2317279444493909"/>
  </r>
  <r>
    <n v="1211"/>
    <n v="431"/>
    <n v="83"/>
    <n v="26532"/>
    <n v="47305"/>
    <n v="232"/>
    <s v="#DiscoverWeekly"/>
    <s v="#SoundtrackOfLife"/>
    <x v="3"/>
    <s v="Before"/>
    <n v="9.0769123548638433"/>
    <n v="7.094741868732517"/>
    <n v="6.094741868732517"/>
    <n v="7.3759987939092415"/>
  </r>
  <r>
    <n v="2784"/>
    <n v="111"/>
    <n v="399"/>
    <n v="58366"/>
    <n v="69512"/>
    <n v="269"/>
    <s v="#MusicForEveryone"/>
    <s v="#NowPlaying"/>
    <x v="0"/>
    <s v="Before"/>
    <n v="9.0942686156899128"/>
    <n v="8.7692414299918564"/>
    <n v="7.7692414299918564"/>
    <n v="6.1045814343967377"/>
  </r>
  <r>
    <n v="3634"/>
    <n v="280"/>
    <n v="399"/>
    <n v="40256"/>
    <n v="52605"/>
    <n v="213"/>
    <s v="#DiscoverWeekly"/>
    <s v="#SpotifyWrapped"/>
    <x v="1"/>
    <s v="Before"/>
    <n v="9.125090133022832"/>
    <n v="12.567655605701493"/>
    <n v="11.567655605701493"/>
    <n v="11.243044515103339"/>
  </r>
  <r>
    <n v="1771"/>
    <n v="487"/>
    <n v="272"/>
    <n v="48810"/>
    <n v="48084"/>
    <n v="272"/>
    <s v="#SoundtrackOfLife"/>
    <s v="#NowPlaying"/>
    <x v="0"/>
    <s v="Before"/>
    <n v="9.1030281082094913"/>
    <n v="10.661759996925198"/>
    <n v="9.6617599969251984"/>
    <n v="5.7406269207129688"/>
  </r>
  <r>
    <n v="1424"/>
    <n v="396"/>
    <n v="312"/>
    <n v="59517"/>
    <n v="46102"/>
    <n v="239"/>
    <s v="#DiscoverWeekly"/>
    <s v="#SpotifyWrapped"/>
    <x v="1"/>
    <s v="Before"/>
    <n v="9.1384218049199823"/>
    <n v="6.5509734707160705"/>
    <n v="5.5509734707160705"/>
    <n v="3.9837357393685839"/>
  </r>
  <r>
    <n v="1079"/>
    <n v="265"/>
    <n v="190"/>
    <n v="43786"/>
    <n v="72428"/>
    <n v="222"/>
    <s v="#SoundtrackOfLife"/>
    <s v="#NowPlaying"/>
    <x v="0"/>
    <s v="Before"/>
    <n v="9.1932588907237207"/>
    <n v="9.0297953516252729"/>
    <n v="8.0297953516252729"/>
    <n v="4.0104142876718587"/>
  </r>
  <r>
    <n v="4247"/>
    <n v="179"/>
    <n v="175"/>
    <n v="32991"/>
    <n v="70120"/>
    <n v="276"/>
    <s v="#SoundtrackOfLife"/>
    <s v="#NowPlaying"/>
    <x v="0"/>
    <s v="During"/>
    <n v="9.2489884025844944"/>
    <n v="9.3671265352887279"/>
    <n v="8.3671265352887279"/>
    <n v="14.782819556848835"/>
  </r>
  <r>
    <n v="2033"/>
    <n v="420"/>
    <n v="94"/>
    <n v="56290"/>
    <n v="57391"/>
    <n v="196"/>
    <s v="#NowPlaying"/>
    <s v="Null"/>
    <x v="0"/>
    <s v="Before"/>
    <n v="9.2489884025844944"/>
    <n v="9.8612067969262629"/>
    <n v="8.8612067969262629"/>
    <n v="4.8729792147806004"/>
  </r>
  <r>
    <n v="1839"/>
    <n v="223"/>
    <n v="171"/>
    <n v="35459"/>
    <n v="69988"/>
    <n v="114"/>
    <s v="#MusicForEveryone"/>
    <s v="#NowPlaying"/>
    <x v="0"/>
    <s v="Before"/>
    <n v="9.2965537198432298"/>
    <n v="6.9904507618552243"/>
    <n v="5.9904507618552243"/>
    <n v="6.6189119828534357"/>
  </r>
  <r>
    <n v="2340"/>
    <n v="141"/>
    <n v="206"/>
    <n v="24916"/>
    <n v="30582"/>
    <n v="157"/>
    <s v="#SoundtrackOfLife"/>
    <s v="#NowPlaying"/>
    <x v="0"/>
    <s v="Before"/>
    <n v="9.325978354315648"/>
    <n v="10.931916328860051"/>
    <n v="9.9319163288600514"/>
    <n v="11.414352223470862"/>
  </r>
  <r>
    <n v="2080"/>
    <n v="389"/>
    <n v="92"/>
    <n v="30971"/>
    <n v="25347"/>
    <n v="111"/>
    <s v="#DiscoverWeekly"/>
    <s v="Null"/>
    <x v="1"/>
    <s v="Before"/>
    <n v="9.3027742002139213"/>
    <n v="9.3378348805678399"/>
    <n v="8.3378348805678399"/>
    <n v="8.6274256562590814"/>
  </r>
  <r>
    <n v="4214"/>
    <n v="286"/>
    <n v="127"/>
    <n v="47293"/>
    <n v="27184"/>
    <n v="232"/>
    <s v="#NowPlaying"/>
    <s v="Null"/>
    <x v="0"/>
    <s v="Before"/>
    <n v="9.3103623861010529"/>
    <n v="13.338835376255787"/>
    <n v="12.338835376255787"/>
    <n v="10.274247774512084"/>
  </r>
  <r>
    <n v="3792"/>
    <n v="315"/>
    <n v="120"/>
    <n v="54592"/>
    <n v="67886"/>
    <n v="117"/>
    <s v="#SoundtrackOfLife"/>
    <s v="Null"/>
    <x v="1"/>
    <s v="Before"/>
    <n v="9.29940914305093"/>
    <n v="9.5638965272847578"/>
    <n v="8.5638965272847578"/>
    <n v="7.9572098475967179"/>
  </r>
  <r>
    <n v="3989"/>
    <n v="476"/>
    <n v="128"/>
    <n v="57569"/>
    <n v="40193"/>
    <n v="222"/>
    <s v="#DiscoverWeekly"/>
    <s v="#MusicForEveryone"/>
    <x v="0"/>
    <s v="Before"/>
    <n v="9.3148367211595993"/>
    <n v="10.653018893702685"/>
    <n v="9.6530188937026846"/>
    <n v="8.3638763918080912"/>
  </r>
  <r>
    <n v="2857"/>
    <n v="443"/>
    <n v="359"/>
    <n v="51519"/>
    <n v="28256"/>
    <n v="155"/>
    <s v="#SoundtrackOfLife"/>
    <s v="#NowPlaying"/>
    <x v="0"/>
    <s v="Before"/>
    <n v="9.325894399407872"/>
    <n v="6.3479785423663015"/>
    <n v="5.3479785423663015"/>
    <n v="7.4030940041538065"/>
  </r>
  <r>
    <n v="1403"/>
    <n v="385"/>
    <n v="344"/>
    <n v="54223"/>
    <n v="72595"/>
    <n v="239"/>
    <s v="#SoundtrackOfLife"/>
    <s v="Null"/>
    <x v="1"/>
    <s v="Before"/>
    <n v="9.3485155805285061"/>
    <n v="8.6407986877179912"/>
    <n v="7.6407986877179912"/>
    <n v="4.3726831787248956"/>
  </r>
  <r>
    <n v="3071"/>
    <n v="126"/>
    <n v="200"/>
    <n v="44013"/>
    <n v="44679"/>
    <n v="118"/>
    <s v="#DiscoverWeekly"/>
    <s v="#MusicForEveryone"/>
    <x v="0"/>
    <s v="Before"/>
    <n v="9.4077516805499819"/>
    <n v="9.286142824476924"/>
    <n v="8.286142824476924"/>
    <n v="7.986276781859905"/>
  </r>
  <r>
    <n v="1010"/>
    <n v="361"/>
    <n v="240"/>
    <n v="47229"/>
    <n v="72573"/>
    <n v="275"/>
    <s v="#SoundtrackOfLife"/>
    <s v="#NowPlaying"/>
    <x v="0"/>
    <s v="Before"/>
    <n v="9.4248778841486569"/>
    <n v="7.6894977893396241"/>
    <n v="6.6894977893396241"/>
    <n v="3.9933091956213342"/>
  </r>
  <r>
    <n v="1295"/>
    <n v="153"/>
    <n v="81"/>
    <n v="48350"/>
    <n v="61033"/>
    <n v="232"/>
    <s v="#DiscoverWeekly"/>
    <s v="#MusicForEveryone"/>
    <x v="0"/>
    <s v="Before"/>
    <n v="9.4911165266916715"/>
    <n v="8.0534440343557634"/>
    <n v="7.0534440343557634"/>
    <n v="3.6421923474663909"/>
  </r>
  <r>
    <n v="1433"/>
    <n v="452"/>
    <n v="305"/>
    <n v="54541"/>
    <n v="63700"/>
    <n v="296"/>
    <s v="#DiscoverWeekly"/>
    <s v="#MusicForEveryone"/>
    <x v="0"/>
    <s v="Before"/>
    <n v="9.563325467175936"/>
    <n v="6.6585662622400266"/>
    <n v="5.6585662622400266"/>
    <n v="4.5580389065106983"/>
  </r>
  <r>
    <n v="4902"/>
    <n v="422"/>
    <n v="376"/>
    <n v="31674"/>
    <n v="53225"/>
    <n v="147"/>
    <s v="#NowPlaying"/>
    <s v="Null"/>
    <x v="2"/>
    <s v="Before"/>
    <n v="9.6258915491842494"/>
    <n v="9.7725492659318629"/>
    <n v="8.7725492659318629"/>
    <n v="18.459935593862472"/>
  </r>
  <r>
    <n v="2659"/>
    <n v="167"/>
    <n v="73"/>
    <n v="23090"/>
    <n v="25872"/>
    <n v="293"/>
    <s v="#SoundtrackOfLife"/>
    <s v="Null"/>
    <x v="1"/>
    <s v="Before"/>
    <n v="9.5140682068465523"/>
    <n v="8.2491131009539487"/>
    <n v="7.2491131009539487"/>
    <n v="13.82416630576007"/>
  </r>
  <r>
    <n v="2599"/>
    <n v="324"/>
    <n v="182"/>
    <n v="37525"/>
    <n v="37216"/>
    <n v="186"/>
    <s v="#DiscoverWeekly"/>
    <s v="#SpotifyWrapped"/>
    <x v="1"/>
    <s v="Before"/>
    <n v="9.4588105389117629"/>
    <n v="12.009519158990084"/>
    <n v="11.009519158990084"/>
    <n v="8.7701532311792132"/>
  </r>
  <r>
    <n v="1765"/>
    <n v="285"/>
    <n v="100"/>
    <n v="41313"/>
    <n v="56575"/>
    <n v="174"/>
    <s v="#SoundtrackOfLife"/>
    <s v="Null"/>
    <x v="1"/>
    <s v="Before"/>
    <n v="9.4677541403108876"/>
    <n v="9.289494299910233"/>
    <n v="8.289494299910233"/>
    <n v="5.6253479534287028"/>
  </r>
  <r>
    <n v="2169"/>
    <n v="240"/>
    <n v="57"/>
    <n v="26109"/>
    <n v="46667"/>
    <n v="133"/>
    <s v="#SoundtrackOfLife"/>
    <s v="#NowPlaying"/>
    <x v="0"/>
    <s v="Before"/>
    <n v="9.5183121164540712"/>
    <n v="11.508082389138218"/>
    <n v="10.508082389138218"/>
    <n v="9.9544218468727248"/>
  </r>
  <r>
    <n v="4303"/>
    <n v="306"/>
    <n v="302"/>
    <n v="39575"/>
    <n v="33762"/>
    <n v="265"/>
    <s v="#DiscoverWeekly"/>
    <s v="#MusicForEveryone"/>
    <x v="0"/>
    <s v="Before"/>
    <n v="9.5124973200484888"/>
    <n v="10.27575676102127"/>
    <n v="9.2757567610212703"/>
    <n v="13.078963992419457"/>
  </r>
  <r>
    <n v="1519"/>
    <n v="456"/>
    <n v="379"/>
    <n v="51611"/>
    <n v="45880"/>
    <n v="176"/>
    <s v="#SoundtrackOfLife"/>
    <s v="Null"/>
    <x v="1"/>
    <s v="Before"/>
    <n v="9.4643018244759087"/>
    <n v="7.8275433255201605"/>
    <n v="6.8275433255201605"/>
    <n v="4.9020557633062722"/>
  </r>
  <r>
    <n v="2569"/>
    <n v="140"/>
    <n v="375"/>
    <n v="38372"/>
    <n v="22102"/>
    <n v="255"/>
    <s v="#DiscoverWeekly"/>
    <s v="#SpotifyWrapped"/>
    <x v="1"/>
    <s v="Before"/>
    <n v="9.5267983458617955"/>
    <n v="9.3199708393836111"/>
    <n v="8.3199708393836111"/>
    <n v="8.7016574585635365"/>
  </r>
  <r>
    <n v="2778"/>
    <n v="241"/>
    <n v="317"/>
    <n v="26247"/>
    <n v="20677"/>
    <n v="282"/>
    <s v="#MusicForEveryone"/>
    <s v="#NowPlaying"/>
    <x v="0"/>
    <s v="Before"/>
    <n v="9.5382586359631585"/>
    <n v="11.956324272906416"/>
    <n v="10.956324272906416"/>
    <n v="13.78443250657218"/>
  </r>
  <r>
    <n v="3611"/>
    <n v="127"/>
    <n v="139"/>
    <n v="44768"/>
    <n v="29435"/>
    <n v="178"/>
    <s v="#NowPlaying"/>
    <s v="Null"/>
    <x v="0"/>
    <s v="Before"/>
    <n v="9.4784533701799312"/>
    <n v="8.7671170577237572"/>
    <n v="7.7671170577237572"/>
    <n v="9.0578091493924227"/>
  </r>
  <r>
    <n v="1224"/>
    <n v="168"/>
    <n v="199"/>
    <n v="54232"/>
    <n v="52844"/>
    <n v="271"/>
    <s v="#SoundtrackOfLife"/>
    <s v="Null"/>
    <x v="1"/>
    <s v="During"/>
    <n v="9.4844625733340386"/>
    <n v="7.0534757066532077"/>
    <n v="6.0534757066532077"/>
    <n v="3.433397256232483"/>
  </r>
  <r>
    <n v="4673"/>
    <n v="270"/>
    <n v="93"/>
    <n v="45260"/>
    <n v="57513"/>
    <n v="103"/>
    <s v="#NowPlaying"/>
    <s v="Null"/>
    <x v="0"/>
    <s v="Before"/>
    <n v="9.4844625733340386"/>
    <n v="10.022298264773694"/>
    <n v="9.0222982647736938"/>
    <n v="11.354396818382678"/>
  </r>
  <r>
    <n v="1432"/>
    <n v="437"/>
    <n v="267"/>
    <n v="40634"/>
    <n v="54511"/>
    <n v="197"/>
    <s v="#DiscoverWeekly"/>
    <s v="#SpotifyWrapped"/>
    <x v="1"/>
    <s v="Before"/>
    <n v="9.4573620770289875"/>
    <n v="9.5692316483800415"/>
    <n v="8.5692316483800415"/>
    <n v="5.7414972682974854"/>
  </r>
  <r>
    <n v="2174"/>
    <n v="499"/>
    <n v="212"/>
    <n v="54938"/>
    <n v="27190"/>
    <n v="265"/>
    <s v="#MusicForEveryone"/>
    <s v="#NowPlaying"/>
    <x v="0"/>
    <s v="Before"/>
    <n v="9.5120071477456261"/>
    <n v="8.2490829060061319"/>
    <n v="7.2490829060061319"/>
    <n v="5.7337362117295863"/>
  </r>
  <r>
    <n v="4308"/>
    <n v="171"/>
    <n v="106"/>
    <n v="36955"/>
    <n v="23949"/>
    <n v="294"/>
    <s v="#DiscoverWeekly"/>
    <s v="#SpotifyWrapped"/>
    <x v="1"/>
    <s v="Before"/>
    <n v="9.5683992512682536"/>
    <n v="13.29240581463432"/>
    <n v="12.29240581463432"/>
    <n v="13.202543634149642"/>
  </r>
  <r>
    <n v="1060"/>
    <n v="442"/>
    <n v="319"/>
    <n v="57194"/>
    <n v="24258"/>
    <n v="101"/>
    <s v="#DiscoverWeekly"/>
    <s v="#SoundtrackOfLife"/>
    <x v="3"/>
    <s v="Before"/>
    <n v="9.5133364575882329"/>
    <n v="11.559939353156583"/>
    <n v="10.559939353156583"/>
    <n v="3.3604923593383922"/>
  </r>
  <r>
    <n v="4653"/>
    <n v="226"/>
    <n v="349"/>
    <n v="56876"/>
    <n v="28452"/>
    <n v="257"/>
    <s v="#DiscoverWeekly"/>
    <s v="#SpotifyWrapped"/>
    <x v="1"/>
    <s v="Before"/>
    <n v="9.6079955975613061"/>
    <n v="10.208360300191504"/>
    <n v="9.2083603001915044"/>
    <n v="9.6437864828750257"/>
  </r>
  <r>
    <n v="1701"/>
    <n v="272"/>
    <n v="385"/>
    <n v="47496"/>
    <n v="40832"/>
    <n v="246"/>
    <s v="#DiscoverWeekly"/>
    <s v="#SpotifyWrapped"/>
    <x v="1"/>
    <s v="Before"/>
    <n v="9.6074363649782786"/>
    <n v="13.588589145539217"/>
    <n v="12.588589145539217"/>
    <n v="5.482566953006569"/>
  </r>
  <r>
    <n v="1673"/>
    <n v="280"/>
    <n v="67"/>
    <n v="29847"/>
    <n v="48016"/>
    <n v="213"/>
    <s v="#SoundtrackOfLife"/>
    <s v="#NowPlaying"/>
    <x v="0"/>
    <s v="Before"/>
    <n v="9.6729104826286232"/>
    <n v="11.973046787579495"/>
    <n v="10.973046787579495"/>
    <n v="7.4814889268603206"/>
  </r>
  <r>
    <n v="4310"/>
    <n v="284"/>
    <n v="306"/>
    <n v="44606"/>
    <n v="42604"/>
    <n v="290"/>
    <s v="#DiscoverWeekly"/>
    <s v="#SpotifyWrapped"/>
    <x v="1"/>
    <s v="Before"/>
    <n v="9.7082559915926279"/>
    <n v="8.1771085894812927"/>
    <n v="7.1771085894812927"/>
    <n v="11.635206026095144"/>
  </r>
  <r>
    <n v="2752"/>
    <n v="309"/>
    <n v="91"/>
    <n v="39038"/>
    <n v="28095"/>
    <n v="277"/>
    <s v="#NowPlaying"/>
    <s v="Null"/>
    <x v="0"/>
    <s v="Before"/>
    <n v="9.6766666467647173"/>
    <n v="9.2760117219107165"/>
    <n v="8.2760117219107165"/>
    <n v="8.7837491674778416"/>
  </r>
  <r>
    <n v="3818"/>
    <n v="115"/>
    <n v="286"/>
    <n v="25127"/>
    <n v="22277"/>
    <n v="263"/>
    <s v="#NowPlaying"/>
    <s v="Null"/>
    <x v="0"/>
    <s v="Before"/>
    <n v="9.6915486047528319"/>
    <n v="9.0014452430042411"/>
    <n v="8.0014452430042411"/>
    <n v="17.837386078720101"/>
  </r>
  <r>
    <n v="2101"/>
    <n v="411"/>
    <n v="190"/>
    <n v="41791"/>
    <n v="57090"/>
    <n v="172"/>
    <s v="#DiscoverWeekly"/>
    <s v="#SpotifyWrapped"/>
    <x v="1"/>
    <s v="Before"/>
    <n v="9.5534835628211816"/>
    <n v="12.329657364590176"/>
    <n v="11.329657364590176"/>
    <n v="6.8770787968701397"/>
  </r>
  <r>
    <n v="2519"/>
    <n v="202"/>
    <n v="239"/>
    <n v="36245"/>
    <n v="48606"/>
    <n v="145"/>
    <s v="#DiscoverWeekly"/>
    <s v="Null"/>
    <x v="1"/>
    <s v="Before"/>
    <n v="9.5996284725789582"/>
    <n v="10.019513076802799"/>
    <n v="9.0195130768027987"/>
    <n v="8.5666988550144847"/>
  </r>
  <r>
    <n v="4502"/>
    <n v="238"/>
    <n v="386"/>
    <n v="39198"/>
    <n v="25050"/>
    <n v="297"/>
    <s v="#DiscoverWeekly"/>
    <s v="#SpotifyWrapped"/>
    <x v="1"/>
    <s v="Before"/>
    <n v="9.6177500448169315"/>
    <n v="6.965763900212762"/>
    <n v="5.965763900212762"/>
    <n v="13.834889535180366"/>
  </r>
  <r>
    <n v="2478"/>
    <n v="427"/>
    <n v="242"/>
    <n v="59272"/>
    <n v="37833"/>
    <n v="214"/>
    <s v="#SoundtrackOfLife"/>
    <s v="#NowPlaying"/>
    <x v="0"/>
    <s v="Before"/>
    <n v="9.542443982489015"/>
    <n v="6.8049057969385913"/>
    <n v="5.8049057969385913"/>
    <n v="5.6704683493048993"/>
  </r>
  <r>
    <n v="4984"/>
    <n v="300"/>
    <n v="338"/>
    <n v="32900"/>
    <n v="31691"/>
    <n v="160"/>
    <s v="#MusicForEveryone"/>
    <s v="#NowPlaying"/>
    <x v="0"/>
    <s v="Before"/>
    <n v="9.6128435394559961"/>
    <n v="7.4123670956415495"/>
    <n v="6.4123670956415495"/>
    <n v="17.574468085106382"/>
  </r>
  <r>
    <n v="4774"/>
    <n v="389"/>
    <n v="358"/>
    <n v="52346"/>
    <n v="30518"/>
    <n v="277"/>
    <s v="#DiscoverWeekly"/>
    <s v="#SpotifyWrapped"/>
    <x v="1"/>
    <s v="Before"/>
    <n v="9.4654060478698803"/>
    <n v="6.8856295608498703"/>
    <n v="5.8856295608498703"/>
    <n v="11.076300003820732"/>
  </r>
  <r>
    <n v="2145"/>
    <n v="340"/>
    <n v="85"/>
    <n v="53323"/>
    <n v="49938"/>
    <n v="104"/>
    <s v="#NowPlaying"/>
    <s v="Null"/>
    <x v="0"/>
    <s v="Before"/>
    <n v="9.4350118222859027"/>
    <n v="6.7994123715167909"/>
    <n v="5.7994123715167909"/>
    <n v="5.0147216023104475"/>
  </r>
  <r>
    <n v="4315"/>
    <n v="208"/>
    <n v="273"/>
    <n v="35780"/>
    <n v="44349"/>
    <n v="133"/>
    <s v="#DiscoverWeekly"/>
    <s v="#MusicForEveryone"/>
    <x v="0"/>
    <s v="Before"/>
    <n v="9.5200174034392759"/>
    <n v="9.3015467570861734"/>
    <n v="8.3015467570861734"/>
    <n v="13.775852431525992"/>
  </r>
  <r>
    <n v="2267"/>
    <n v="230"/>
    <n v="243"/>
    <n v="27904"/>
    <n v="69771"/>
    <n v="255"/>
    <s v="#DiscoverWeekly"/>
    <s v="#MusicForEveryone"/>
    <x v="0"/>
    <s v="Before"/>
    <n v="9.4365696577905176"/>
    <n v="9.5879331298330879"/>
    <n v="8.5879331298330879"/>
    <n v="10.733228211009175"/>
  </r>
  <r>
    <n v="4375"/>
    <n v="303"/>
    <n v="294"/>
    <n v="57468"/>
    <n v="53397"/>
    <n v="159"/>
    <s v="#DiscoverWeekly"/>
    <s v="#SpotifyWrapped"/>
    <x v="1"/>
    <s v="Before"/>
    <n v="9.4106364867261441"/>
    <n v="9.7093452419268242"/>
    <n v="8.7093452419268242"/>
    <n v="8.9284471357973132"/>
  </r>
  <r>
    <n v="3817"/>
    <n v="284"/>
    <n v="204"/>
    <n v="46434"/>
    <n v="53396"/>
    <n v="104"/>
    <s v="#MusicForEveryone"/>
    <s v="#NowPlaying"/>
    <x v="0"/>
    <s v="Before"/>
    <n v="9.4204770857246931"/>
    <n v="7.5025547387732949"/>
    <n v="6.5025547387732949"/>
    <n v="9.4951974846017997"/>
  </r>
  <r>
    <n v="2981"/>
    <n v="258"/>
    <n v="168"/>
    <n v="20677"/>
    <n v="68290"/>
    <n v="130"/>
    <s v="#SoundtrackOfLife"/>
    <s v="#NowPlaying"/>
    <x v="0"/>
    <s v="During"/>
    <n v="9.4189204107480862"/>
    <n v="10.567438536834086"/>
    <n v="9.5674385368340857"/>
    <n v="17.105963147458528"/>
  </r>
  <r>
    <n v="3300"/>
    <n v="354"/>
    <n v="397"/>
    <n v="56773"/>
    <n v="72110"/>
    <n v="163"/>
    <s v="#DiscoverWeekly"/>
    <s v="#MusicForEveryone"/>
    <x v="0"/>
    <s v="Before"/>
    <n v="9.4189204107480862"/>
    <n v="9.4517745437762173"/>
    <n v="8.4517745437762173"/>
    <n v="7.4225424057210292"/>
  </r>
  <r>
    <n v="4722"/>
    <n v="310"/>
    <n v="344"/>
    <n v="27911"/>
    <n v="19000"/>
    <n v="225"/>
    <s v="#DiscoverWeekly"/>
    <s v="#SoundtrackOfLife"/>
    <x v="3"/>
    <s v="Before"/>
    <n v="9.4613965385146201"/>
    <n v="10.802072136872509"/>
    <n v="9.8020721368725088"/>
    <n v="20.067356956038836"/>
  </r>
  <r>
    <n v="3529"/>
    <n v="263"/>
    <n v="107"/>
    <n v="26570"/>
    <n v="19367"/>
    <n v="96"/>
    <s v="#DiscoverWeekly"/>
    <s v="Null"/>
    <x v="1"/>
    <s v="Before"/>
    <n v="9.2308321816119197"/>
    <n v="6.2067643684000737"/>
    <n v="5.2067643684000737"/>
    <n v="15.035754610462929"/>
  </r>
  <r>
    <n v="4782"/>
    <n v="210"/>
    <n v="311"/>
    <n v="29793"/>
    <n v="37543"/>
    <n v="145"/>
    <s v="#NowPlaying"/>
    <s v="Null"/>
    <x v="0"/>
    <s v="Before"/>
    <n v="9.10183390541523"/>
    <n v="6.8758199753850429"/>
    <n v="5.8758199753850429"/>
    <n v="18.286174604772935"/>
  </r>
  <r>
    <n v="1848"/>
    <n v="417"/>
    <n v="294"/>
    <n v="57819"/>
    <n v="19798"/>
    <n v="262"/>
    <s v="#SoundtrackOfLife"/>
    <s v="Null"/>
    <x v="1"/>
    <s v="During"/>
    <n v="8.8930988895207363"/>
    <n v="8.3985658340800651"/>
    <n v="7.3985658340800651"/>
    <n v="4.8790190075926594"/>
  </r>
  <r>
    <n v="4676"/>
    <n v="211"/>
    <n v="55"/>
    <n v="45917"/>
    <n v="73503"/>
    <n v="248"/>
    <s v="#DiscoverWeekly"/>
    <s v="#SpotifyWrapped"/>
    <x v="1"/>
    <s v="Before"/>
    <n v="8.8930988895207363"/>
    <n v="10.665019113668016"/>
    <n v="9.6650191136680164"/>
    <n v="11.303003244985517"/>
  </r>
  <r>
    <n v="1994"/>
    <n v="197"/>
    <n v="290"/>
    <n v="49500"/>
    <n v="23343"/>
    <n v="160"/>
    <s v="#DiscoverWeekly"/>
    <s v="#SpotifyWrapped"/>
    <x v="1"/>
    <s v="Before"/>
    <n v="8.837054602184347"/>
    <n v="9.1398176266252538"/>
    <n v="8.1398176266252538"/>
    <n v="5.3353535353535353"/>
  </r>
  <r>
    <n v="4995"/>
    <n v="231"/>
    <n v="94"/>
    <n v="34431"/>
    <n v="32560"/>
    <n v="262"/>
    <s v="#NowPlaying"/>
    <s v="Null"/>
    <x v="0"/>
    <s v="Before"/>
    <n v="8.9204284371088907"/>
    <n v="6.2861814483199945"/>
    <n v="5.2861814483199945"/>
    <n v="16.212134413755049"/>
  </r>
  <r>
    <n v="2291"/>
    <n v="146"/>
    <n v="399"/>
    <n v="49319"/>
    <n v="28056"/>
    <n v="90"/>
    <s v="#DiscoverWeekly"/>
    <s v="#MusicForEveryone"/>
    <x v="0"/>
    <s v="Before"/>
    <n v="8.7425819498736193"/>
    <n v="6.3514532698019615"/>
    <n v="5.3514532698019615"/>
    <n v="5.9328048013950001"/>
  </r>
  <r>
    <n v="2304"/>
    <n v="289"/>
    <n v="161"/>
    <n v="52645"/>
    <n v="66262"/>
    <n v="146"/>
    <s v="#MusicForEveryone"/>
    <s v="#NowPlaying"/>
    <x v="0"/>
    <s v="During"/>
    <n v="8.8128263785855836"/>
    <n v="7.8339342921900794"/>
    <n v="6.8339342921900794"/>
    <n v="5.5085953081964103"/>
  </r>
  <r>
    <n v="3413"/>
    <n v="326"/>
    <n v="86"/>
    <n v="44680"/>
    <n v="52719"/>
    <n v="272"/>
    <s v="#DiscoverWeekly"/>
    <s v="#MusicForEveryone"/>
    <x v="0"/>
    <s v="Before"/>
    <n v="8.8128263785855836"/>
    <n v="7.9422521402357882"/>
    <n v="6.9422521402357882"/>
    <n v="9.1696508504923901"/>
  </r>
  <r>
    <n v="1453"/>
    <n v="156"/>
    <n v="178"/>
    <n v="52980"/>
    <n v="57180"/>
    <n v="286"/>
    <s v="#DiscoverWeekly"/>
    <s v="#SoundtrackOfLife"/>
    <x v="3"/>
    <s v="Before"/>
    <n v="8.8036770331520771"/>
    <n v="7.6281434413974116"/>
    <n v="6.6281434413974116"/>
    <n v="3.9127972819932051"/>
  </r>
  <r>
    <n v="1651"/>
    <n v="480"/>
    <n v="282"/>
    <n v="32140"/>
    <n v="70560"/>
    <n v="138"/>
    <s v="#SoundtrackOfLife"/>
    <s v="#NowPlaying"/>
    <x v="0"/>
    <s v="Before"/>
    <n v="8.9323843950246786"/>
    <n v="8.0466802620141173"/>
    <n v="7.0466802620141173"/>
    <n v="7.9371499688861231"/>
  </r>
  <r>
    <n v="3341"/>
    <n v="154"/>
    <n v="123"/>
    <n v="43369"/>
    <n v="49035"/>
    <n v="128"/>
    <s v="#MusicForEveryone"/>
    <s v="#NowPlaying"/>
    <x v="0"/>
    <s v="Before"/>
    <n v="8.9592826227581543"/>
    <n v="14.196186797428886"/>
    <n v="13.196186797428886"/>
    <n v="8.6375060527104619"/>
  </r>
  <r>
    <n v="2972"/>
    <n v="263"/>
    <n v="308"/>
    <n v="51740"/>
    <n v="28214"/>
    <n v="190"/>
    <s v="#SoundtrackOfLife"/>
    <s v="Null"/>
    <x v="1"/>
    <s v="Before"/>
    <n v="8.968220860815034"/>
    <n v="16.561239103745251"/>
    <n v="15.561239103745251"/>
    <n v="7.2149207576343262"/>
  </r>
  <r>
    <n v="4963"/>
    <n v="255"/>
    <n v="193"/>
    <n v="44386"/>
    <n v="28415"/>
    <n v="174"/>
    <s v="#MusicForEveryone"/>
    <s v="#NowPlaying"/>
    <x v="0"/>
    <s v="Before"/>
    <n v="9.0183151494773384"/>
    <n v="11.007576921207857"/>
    <n v="10.007576921207857"/>
    <n v="12.582796377236066"/>
  </r>
  <r>
    <n v="2399"/>
    <n v="191"/>
    <n v="221"/>
    <n v="51603"/>
    <n v="40033"/>
    <n v="173"/>
    <s v="#DiscoverWeekly"/>
    <s v="#SpotifyWrapped"/>
    <x v="1"/>
    <s v="Before"/>
    <n v="8.9134774663079632"/>
    <n v="8.0568566280385845"/>
    <n v="7.0568566280385845"/>
    <n v="5.7826095382051435"/>
  </r>
  <r>
    <n v="2162"/>
    <n v="318"/>
    <n v="83"/>
    <n v="46719"/>
    <n v="20482"/>
    <n v="185"/>
    <s v="#DiscoverWeekly"/>
    <s v="#SoundtrackOfLife"/>
    <x v="3"/>
    <s v="Before"/>
    <n v="9.0083522520080486"/>
    <n v="7.4455621932830134"/>
    <n v="6.4455621932830134"/>
    <n v="5.8819752135105627"/>
  </r>
  <r>
    <n v="4341"/>
    <n v="141"/>
    <n v="63"/>
    <n v="50081"/>
    <n v="27507"/>
    <n v="221"/>
    <s v="#DiscoverWeekly"/>
    <s v="#MusicForEveryone"/>
    <x v="0"/>
    <s v="Before"/>
    <n v="9.1060515344610966"/>
    <n v="8.9807972930546676"/>
    <n v="7.9807972930546676"/>
    <n v="9.516583135320781"/>
  </r>
  <r>
    <n v="2448"/>
    <n v="464"/>
    <n v="98"/>
    <n v="25737"/>
    <n v="48545"/>
    <n v="246"/>
    <s v="#NowPlaying"/>
    <s v="Null"/>
    <x v="2"/>
    <s v="Before"/>
    <n v="9.0928085795946547"/>
    <n v="6.3152612623120339"/>
    <n v="5.3152612623120339"/>
    <n v="12.651047130590202"/>
  </r>
  <r>
    <n v="2471"/>
    <n v="166"/>
    <n v="320"/>
    <n v="48254"/>
    <n v="46900"/>
    <n v="111"/>
    <s v="#DiscoverWeekly"/>
    <s v="#SpotifyWrapped"/>
    <x v="1"/>
    <s v="Before"/>
    <n v="8.9742006278948008"/>
    <n v="7.9378972769337608"/>
    <n v="6.9378972769337608"/>
    <n v="6.3580221328801754"/>
  </r>
  <r>
    <n v="2692"/>
    <n v="446"/>
    <n v="216"/>
    <n v="45818"/>
    <n v="62723"/>
    <n v="85"/>
    <s v="#DiscoverWeekly"/>
    <s v="#SoundtrackOfLife"/>
    <x v="3"/>
    <s v="Before"/>
    <n v="9.0644136794470302"/>
    <n v="10.509147857771303"/>
    <n v="9.5091478577713033"/>
    <n v="7.5057837531101317"/>
  </r>
  <r>
    <n v="4621"/>
    <n v="374"/>
    <n v="298"/>
    <n v="56979"/>
    <n v="24098"/>
    <n v="205"/>
    <s v="#DiscoverWeekly"/>
    <s v="#SoundtrackOfLife"/>
    <x v="3"/>
    <s v="During"/>
    <n v="9.1200790339590618"/>
    <n v="9.8643560324840678"/>
    <n v="8.8643560324840678"/>
    <n v="9.6491689920848032"/>
  </r>
  <r>
    <n v="1409"/>
    <n v="466"/>
    <n v="105"/>
    <n v="58923"/>
    <n v="38753"/>
    <n v="265"/>
    <s v="#DiscoverWeekly"/>
    <s v="#MusicForEveryone"/>
    <x v="0"/>
    <s v="Before"/>
    <n v="9.1200790339590618"/>
    <n v="10.802854637471722"/>
    <n v="9.8028546374717216"/>
    <n v="3.8100571932861529"/>
  </r>
  <r>
    <n v="3029"/>
    <n v="440"/>
    <n v="66"/>
    <n v="23815"/>
    <n v="47895"/>
    <n v="210"/>
    <s v="#DiscoverWeekly"/>
    <s v="#MusicForEveryone"/>
    <x v="0"/>
    <s v="Before"/>
    <n v="9.3167465095395414"/>
    <n v="13.573418363137545"/>
    <n v="12.573418363137545"/>
    <n v="15.725383161872768"/>
  </r>
  <r>
    <n v="2229"/>
    <n v="395"/>
    <n v="328"/>
    <n v="56921"/>
    <n v="37176"/>
    <n v="126"/>
    <s v="#SoundtrackOfLife"/>
    <s v="Null"/>
    <x v="1"/>
    <s v="Before"/>
    <n v="9.0702604844498005"/>
    <n v="11.245725313544291"/>
    <n v="10.245725313544291"/>
    <n v="5.4074945977758651"/>
  </r>
  <r>
    <n v="2691"/>
    <n v="486"/>
    <n v="206"/>
    <n v="51133"/>
    <n v="44583"/>
    <n v="276"/>
    <s v="#NowPlaying"/>
    <s v="Null"/>
    <x v="0"/>
    <s v="Before"/>
    <n v="9.2167711199167588"/>
    <n v="9.7924202562824085"/>
    <n v="8.7924202562824085"/>
    <n v="7.1558484735884846"/>
  </r>
  <r>
    <n v="2110"/>
    <n v="384"/>
    <n v="236"/>
    <n v="49965"/>
    <n v="61555"/>
    <n v="195"/>
    <s v="#DiscoverWeekly"/>
    <s v="Null"/>
    <x v="1"/>
    <s v="Before"/>
    <n v="9.3026428968471038"/>
    <n v="9.076817183178532"/>
    <n v="8.076817183178532"/>
    <n v="5.8540978685079557"/>
  </r>
  <r>
    <n v="4752"/>
    <n v="449"/>
    <n v="309"/>
    <n v="58530"/>
    <n v="26630"/>
    <n v="234"/>
    <s v="#DiscoverWeekly"/>
    <s v="Null"/>
    <x v="1"/>
    <s v="Before"/>
    <n v="9.4525796372096735"/>
    <n v="4.1144972000850561"/>
    <n v="3.1144972000850561"/>
    <n v="9.8137707158722023"/>
  </r>
  <r>
    <n v="2177"/>
    <n v="258"/>
    <n v="292"/>
    <n v="47276"/>
    <n v="51324"/>
    <n v="143"/>
    <s v="#NowPlaying"/>
    <s v="Null"/>
    <x v="0"/>
    <s v="Before"/>
    <n v="9.4361618609068323"/>
    <n v="7.6044892489147191"/>
    <n v="6.6044892489147191"/>
    <n v="6.0707335645993741"/>
  </r>
  <r>
    <n v="1205"/>
    <n v="486"/>
    <n v="269"/>
    <n v="23341"/>
    <n v="42411"/>
    <n v="184"/>
    <s v="#NowPlaying"/>
    <s v="Null"/>
    <x v="2"/>
    <s v="Before"/>
    <n v="9.5964203512071862"/>
    <n v="12.098044151357186"/>
    <n v="11.098044151357186"/>
    <n v="9.1855533181954492"/>
  </r>
  <r>
    <n v="3194"/>
    <n v="292"/>
    <n v="245"/>
    <n v="56371"/>
    <n v="65597"/>
    <n v="163"/>
    <s v="#SoundtrackOfLife"/>
    <s v="#NowPlaying"/>
    <x v="0"/>
    <s v="Before"/>
    <n v="9.6169637028577739"/>
    <n v="9.3730960530361287"/>
    <n v="8.3730960530361287"/>
    <n v="6.9078072058327864"/>
  </r>
  <r>
    <n v="3507"/>
    <n v="295"/>
    <n v="371"/>
    <n v="20410"/>
    <n v="53965"/>
    <n v="212"/>
    <s v="#SoundtrackOfLife"/>
    <s v="#NowPlaying"/>
    <x v="0"/>
    <s v="Before"/>
    <n v="9.75955088691172"/>
    <n v="6.2908881969113803"/>
    <n v="5.2908881969113803"/>
    <n v="21.484566389024987"/>
  </r>
  <r>
    <n v="4471"/>
    <n v="317"/>
    <n v="249"/>
    <n v="44862"/>
    <n v="33365"/>
    <n v="184"/>
    <s v="#DiscoverWeekly"/>
    <s v="#MusicForEveryone"/>
    <x v="0"/>
    <s v="Before"/>
    <n v="9.1081611367943172"/>
    <n v="6.1698073704525385"/>
    <n v="5.1698073704525385"/>
    <n v="11.637911818465517"/>
  </r>
  <r>
    <n v="4931"/>
    <n v="469"/>
    <n v="193"/>
    <n v="56701"/>
    <n v="69437"/>
    <n v="291"/>
    <s v="#SoundtrackOfLife"/>
    <s v="#NowPlaying"/>
    <x v="0"/>
    <s v="Before"/>
    <n v="8.9593522731666013"/>
    <n v="6.0444134673094423"/>
    <n v="5.0444134673094423"/>
    <n v="10.377242023950195"/>
  </r>
  <r>
    <n v="2604"/>
    <n v="439"/>
    <n v="148"/>
    <n v="58468"/>
    <n v="39629"/>
    <n v="163"/>
    <s v="#MusicForEveryone"/>
    <s v="#NowPlaying"/>
    <x v="0"/>
    <s v="Before"/>
    <n v="8.8707341637426271"/>
    <n v="13.29240581463432"/>
    <n v="12.29240581463432"/>
    <n v="5.7364712321269753"/>
  </r>
  <r>
    <n v="4197"/>
    <n v="359"/>
    <n v="280"/>
    <n v="56048"/>
    <n v="70930"/>
    <n v="295"/>
    <s v="#DiscoverWeekly"/>
    <s v="Null"/>
    <x v="1"/>
    <s v="Before"/>
    <n v="9.0796850258503365"/>
    <n v="11.559939353156583"/>
    <n v="10.559939353156583"/>
    <n v="9.1546531544390515"/>
  </r>
  <r>
    <n v="1914"/>
    <n v="255"/>
    <n v="156"/>
    <n v="27660"/>
    <n v="47776"/>
    <n v="111"/>
    <s v="#NowPlaying"/>
    <s v="Null"/>
    <x v="2"/>
    <s v="Before"/>
    <n v="9.0743301595225709"/>
    <n v="10.208360300191504"/>
    <n v="9.2083603001915044"/>
    <n v="8.8069414316702819"/>
  </r>
  <r>
    <n v="1334"/>
    <n v="357"/>
    <n v="257"/>
    <n v="56910"/>
    <n v="70606"/>
    <n v="228"/>
    <s v="#DiscoverWeekly"/>
    <s v="#SpotifyWrapped"/>
    <x v="1"/>
    <s v="Before"/>
    <n v="9.0948985232035167"/>
    <n v="13.588589145539217"/>
    <n v="12.588589145539217"/>
    <n v="3.8235810929537863"/>
  </r>
  <r>
    <n v="3359"/>
    <n v="137"/>
    <n v="387"/>
    <n v="33861"/>
    <n v="47257"/>
    <n v="198"/>
    <s v="#DiscoverWeekly"/>
    <s v="Null"/>
    <x v="1"/>
    <s v="Before"/>
    <n v="9.5341749757243281"/>
    <n v="11.973046787579495"/>
    <n v="10.973046787579495"/>
    <n v="12.052213460913736"/>
  </r>
  <r>
    <n v="2172"/>
    <n v="338"/>
    <n v="70"/>
    <n v="30515"/>
    <n v="57853"/>
    <n v="156"/>
    <s v="#DiscoverWeekly"/>
    <s v="#SpotifyWrapped"/>
    <x v="1"/>
    <s v="During"/>
    <n v="9.3052623861616546"/>
    <n v="8.1771085894812927"/>
    <n v="7.1771085894812927"/>
    <n v="8.966082254628871"/>
  </r>
  <r>
    <n v="4877"/>
    <n v="442"/>
    <n v="236"/>
    <n v="52673"/>
    <n v="48241"/>
    <n v="114"/>
    <s v="#DiscoverWeekly"/>
    <s v="#MusicForEveryone"/>
    <x v="0"/>
    <s v="Before"/>
    <n v="9.3052623861616546"/>
    <n v="9.2760117219107165"/>
    <n v="8.2760117219107165"/>
    <n v="10.762629810339263"/>
  </r>
  <r>
    <n v="4918"/>
    <n v="440"/>
    <n v="149"/>
    <n v="53269"/>
    <n v="64370"/>
    <n v="269"/>
    <s v="#NowPlaying"/>
    <s v="Null"/>
    <x v="2"/>
    <s v="Before"/>
    <n v="9.1595256437438923"/>
    <n v="9.0014452430042411"/>
    <n v="8.0014452430042411"/>
    <n v="10.843079464604179"/>
  </r>
  <r>
    <n v="3418"/>
    <n v="107"/>
    <n v="221"/>
    <n v="23927"/>
    <n v="26182"/>
    <n v="155"/>
    <s v="#SoundtrackOfLife"/>
    <s v="Null"/>
    <x v="1"/>
    <s v="Before"/>
    <n v="8.9724641080927512"/>
    <n v="12.329657364590176"/>
    <n v="11.329657364590176"/>
    <n v="16.303757261670913"/>
  </r>
  <r>
    <n v="2088"/>
    <n v="490"/>
    <n v="124"/>
    <n v="46544"/>
    <n v="69346"/>
    <n v="178"/>
    <s v="#SoundtrackOfLife"/>
    <s v="#NowPlaying"/>
    <x v="0"/>
    <s v="During"/>
    <n v="8.0560524638954796"/>
    <n v="10.019513076802799"/>
    <n v="9.0195130768027987"/>
    <n v="6.1876933654176698"/>
  </r>
  <r>
    <n v="3061"/>
    <n v="320"/>
    <n v="76"/>
    <n v="26640"/>
    <n v="24306"/>
    <n v="112"/>
    <s v="#MusicForEveryone"/>
    <s v="#NowPlaying"/>
    <x v="0"/>
    <s v="Before"/>
    <n v="8.0560524638954796"/>
    <n v="6.965763900212762"/>
    <n v="5.965763900212762"/>
    <n v="13.397147147147148"/>
  </r>
  <r>
    <n v="1265"/>
    <n v="230"/>
    <n v="364"/>
    <n v="41312"/>
    <n v="50382"/>
    <n v="106"/>
    <s v="#DiscoverWeekly"/>
    <s v="#SoundtrackOfLife"/>
    <x v="3"/>
    <s v="Before"/>
    <n v="7.2930389377166689"/>
    <n v="6.8049057969385913"/>
    <n v="5.8049057969385913"/>
    <n v="4.756487219209915"/>
  </r>
  <r>
    <n v="1436"/>
    <n v="219"/>
    <n v="229"/>
    <n v="58488"/>
    <n v="24314"/>
    <n v="147"/>
    <s v="#DiscoverWeekly"/>
    <s v="Null"/>
    <x v="1"/>
    <s v="Before"/>
    <n v="7.7157975574677948"/>
    <n v="7.4123670956415495"/>
    <n v="6.4123670956415495"/>
    <n v="3.4725071809601973"/>
  </r>
  <r>
    <n v="2244"/>
    <n v="392"/>
    <n v="231"/>
    <n v="25834"/>
    <n v="50906"/>
    <n v="165"/>
    <s v="#NowPlaying"/>
    <s v="Null"/>
    <x v="2"/>
    <s v="Before"/>
    <n v="8.5644556327693149"/>
    <n v="6.8856295608498703"/>
    <n v="5.8856295608498703"/>
    <n v="11.736471316869242"/>
  </r>
  <r>
    <n v="3393"/>
    <n v="104"/>
    <n v="79"/>
    <n v="30025"/>
    <n v="21593"/>
    <n v="165"/>
    <s v="#MusicForEveryone"/>
    <s v="#NowPlaying"/>
    <x v="0"/>
    <s v="Before"/>
    <n v="7.7714517117443336"/>
    <n v="6.7994123715167909"/>
    <n v="5.7994123715167909"/>
    <n v="12.459616985845129"/>
  </r>
  <r>
    <n v="2901"/>
    <n v="108"/>
    <n v="86"/>
    <n v="51777"/>
    <n v="23773"/>
    <n v="160"/>
    <s v="#SoundtrackOfLife"/>
    <s v="Null"/>
    <x v="1"/>
    <s v="Before"/>
    <n v="6.2087299537107343"/>
    <n v="9.3015467570861734"/>
    <n v="8.3015467570861734"/>
    <n v="6.2865751202271278"/>
  </r>
  <r>
    <n v="2275"/>
    <n v="285"/>
    <n v="125"/>
    <n v="43970"/>
    <n v="74761"/>
    <n v="83"/>
    <s v="#NowPlaying"/>
    <s v="Null"/>
    <x v="0"/>
    <s v="Before"/>
    <n v="6.1698073704525385"/>
    <n v="9.5879331298330879"/>
    <n v="8.5879331298330879"/>
    <n v="6.2952012735956338"/>
  </r>
  <r>
    <n v="2227"/>
    <n v="494"/>
    <n v="161"/>
    <n v="51651"/>
    <n v="68074"/>
    <n v="240"/>
    <s v="#DiscoverWeekly"/>
    <s v="#MusicForEveryone"/>
    <x v="0"/>
    <s v="Before"/>
    <n v="6.0444134673094423"/>
    <n v="9.7093452419268242"/>
    <n v="8.7093452419268242"/>
    <n v="6.04441346730944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0DDA79-611F-45D7-9CBC-A3A21CC39780}" name="PivotTable4"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Platform">
  <location ref="A19:D22" firstHeaderRow="0" firstDataRow="1" firstDataCol="1"/>
  <pivotFields count="20">
    <pivotField showAll="0"/>
    <pivotField axis="axisRow" showAll="0" sortType="descending">
      <items count="4">
        <item sd="0" x="0"/>
        <item sd="0" x="1"/>
        <item sd="0" x="2"/>
        <item t="default"/>
      </items>
      <autoSortScope>
        <pivotArea dataOnly="0" outline="0" fieldPosition="0">
          <references count="1">
            <reference field="4294967294" count="1" selected="0">
              <x v="1"/>
            </reference>
          </references>
        </pivotArea>
      </autoSortScope>
    </pivotField>
    <pivotField showAll="0"/>
    <pivotField axis="axisRow" showAll="0">
      <items count="4">
        <item x="2"/>
        <item sd="0" x="1"/>
        <item sd="0"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ragToRow="0" dragToCol="0" dragToPage="0" showAll="0" defaultSubtotal="0"/>
  </pivotFields>
  <rowFields count="2">
    <field x="1"/>
    <field x="3"/>
  </rowFields>
  <rowItems count="3">
    <i>
      <x v="1"/>
    </i>
    <i>
      <x/>
    </i>
    <i>
      <x v="2"/>
    </i>
  </rowItems>
  <colFields count="1">
    <field x="-2"/>
  </colFields>
  <colItems count="3">
    <i>
      <x/>
    </i>
    <i i="1">
      <x v="1"/>
    </i>
    <i i="2">
      <x v="2"/>
    </i>
  </colItems>
  <dataFields count="3">
    <dataField name="Total Likes" fld="5" baseField="0" baseItem="0"/>
    <dataField name="Total Shares" fld="6" baseField="0" baseItem="0"/>
    <dataField name="Total Comments" fld="7" baseField="0" baseItem="0"/>
  </dataFields>
  <formats count="51">
    <format dxfId="223">
      <pivotArea collapsedLevelsAreSubtotals="1" fieldPosition="0">
        <references count="1">
          <reference field="3" count="1">
            <x v="0"/>
          </reference>
        </references>
      </pivotArea>
    </format>
    <format dxfId="222">
      <pivotArea collapsedLevelsAreSubtotals="1" fieldPosition="0">
        <references count="2">
          <reference field="1" count="1">
            <x v="2"/>
          </reference>
          <reference field="3" count="1" selected="0">
            <x v="0"/>
          </reference>
        </references>
      </pivotArea>
    </format>
    <format dxfId="221">
      <pivotArea collapsedLevelsAreSubtotals="1" fieldPosition="0">
        <references count="1">
          <reference field="3" count="1">
            <x v="1"/>
          </reference>
        </references>
      </pivotArea>
    </format>
    <format dxfId="220">
      <pivotArea collapsedLevelsAreSubtotals="1" fieldPosition="0">
        <references count="2">
          <reference field="1" count="2">
            <x v="0"/>
            <x v="1"/>
          </reference>
          <reference field="3" count="1" selected="0">
            <x v="1"/>
          </reference>
        </references>
      </pivotArea>
    </format>
    <format dxfId="219">
      <pivotArea collapsedLevelsAreSubtotals="1" fieldPosition="0">
        <references count="1">
          <reference field="3" count="1">
            <x v="2"/>
          </reference>
        </references>
      </pivotArea>
    </format>
    <format dxfId="218">
      <pivotArea collapsedLevelsAreSubtotals="1" fieldPosition="0">
        <references count="2">
          <reference field="1" count="0"/>
          <reference field="3" count="1" selected="0">
            <x v="2"/>
          </reference>
        </references>
      </pivotArea>
    </format>
    <format dxfId="217">
      <pivotArea collapsedLevelsAreSubtotals="1" fieldPosition="0">
        <references count="1">
          <reference field="3" count="1">
            <x v="0"/>
          </reference>
        </references>
      </pivotArea>
    </format>
    <format dxfId="216">
      <pivotArea collapsedLevelsAreSubtotals="1" fieldPosition="0">
        <references count="2">
          <reference field="1" count="1">
            <x v="2"/>
          </reference>
          <reference field="3" count="1" selected="0">
            <x v="0"/>
          </reference>
        </references>
      </pivotArea>
    </format>
    <format dxfId="215">
      <pivotArea collapsedLevelsAreSubtotals="1" fieldPosition="0">
        <references count="1">
          <reference field="3" count="1">
            <x v="1"/>
          </reference>
        </references>
      </pivotArea>
    </format>
    <format dxfId="214">
      <pivotArea collapsedLevelsAreSubtotals="1" fieldPosition="0">
        <references count="2">
          <reference field="1" count="2">
            <x v="0"/>
            <x v="1"/>
          </reference>
          <reference field="3" count="1" selected="0">
            <x v="1"/>
          </reference>
        </references>
      </pivotArea>
    </format>
    <format dxfId="213">
      <pivotArea collapsedLevelsAreSubtotals="1" fieldPosition="0">
        <references count="1">
          <reference field="3" count="1">
            <x v="2"/>
          </reference>
        </references>
      </pivotArea>
    </format>
    <format dxfId="212">
      <pivotArea collapsedLevelsAreSubtotals="1" fieldPosition="0">
        <references count="2">
          <reference field="1" count="0"/>
          <reference field="3" count="1" selected="0">
            <x v="2"/>
          </reference>
        </references>
      </pivotArea>
    </format>
    <format dxfId="211">
      <pivotArea collapsedLevelsAreSubtotals="1" fieldPosition="0">
        <references count="1">
          <reference field="3" count="1">
            <x v="0"/>
          </reference>
        </references>
      </pivotArea>
    </format>
    <format dxfId="210">
      <pivotArea collapsedLevelsAreSubtotals="1" fieldPosition="0">
        <references count="2">
          <reference field="1" count="1">
            <x v="2"/>
          </reference>
          <reference field="3" count="1" selected="0">
            <x v="0"/>
          </reference>
        </references>
      </pivotArea>
    </format>
    <format dxfId="209">
      <pivotArea collapsedLevelsAreSubtotals="1" fieldPosition="0">
        <references count="1">
          <reference field="3" count="1">
            <x v="1"/>
          </reference>
        </references>
      </pivotArea>
    </format>
    <format dxfId="208">
      <pivotArea collapsedLevelsAreSubtotals="1" fieldPosition="0">
        <references count="2">
          <reference field="1" count="2">
            <x v="0"/>
            <x v="1"/>
          </reference>
          <reference field="3" count="1" selected="0">
            <x v="1"/>
          </reference>
        </references>
      </pivotArea>
    </format>
    <format dxfId="207">
      <pivotArea collapsedLevelsAreSubtotals="1" fieldPosition="0">
        <references count="1">
          <reference field="3" count="1">
            <x v="2"/>
          </reference>
        </references>
      </pivotArea>
    </format>
    <format dxfId="206">
      <pivotArea collapsedLevelsAreSubtotals="1" fieldPosition="0">
        <references count="2">
          <reference field="1" count="0"/>
          <reference field="3" count="1" selected="0">
            <x v="2"/>
          </reference>
        </references>
      </pivotArea>
    </format>
    <format dxfId="205">
      <pivotArea collapsedLevelsAreSubtotals="1" fieldPosition="0">
        <references count="1">
          <reference field="3" count="1">
            <x v="0"/>
          </reference>
        </references>
      </pivotArea>
    </format>
    <format dxfId="204">
      <pivotArea collapsedLevelsAreSubtotals="1" fieldPosition="0">
        <references count="2">
          <reference field="1" count="1">
            <x v="2"/>
          </reference>
          <reference field="3" count="1" selected="0">
            <x v="0"/>
          </reference>
        </references>
      </pivotArea>
    </format>
    <format dxfId="203">
      <pivotArea collapsedLevelsAreSubtotals="1" fieldPosition="0">
        <references count="1">
          <reference field="3" count="1">
            <x v="1"/>
          </reference>
        </references>
      </pivotArea>
    </format>
    <format dxfId="202">
      <pivotArea collapsedLevelsAreSubtotals="1" fieldPosition="0">
        <references count="2">
          <reference field="1" count="2">
            <x v="0"/>
            <x v="1"/>
          </reference>
          <reference field="3" count="1" selected="0">
            <x v="1"/>
          </reference>
        </references>
      </pivotArea>
    </format>
    <format dxfId="201">
      <pivotArea collapsedLevelsAreSubtotals="1" fieldPosition="0">
        <references count="1">
          <reference field="3" count="1">
            <x v="2"/>
          </reference>
        </references>
      </pivotArea>
    </format>
    <format dxfId="200">
      <pivotArea collapsedLevelsAreSubtotals="1" fieldPosition="0">
        <references count="2">
          <reference field="1" count="0"/>
          <reference field="3" count="1" selected="0">
            <x v="2"/>
          </reference>
        </references>
      </pivotArea>
    </format>
    <format dxfId="199">
      <pivotArea dataOnly="0" labelOnly="1" fieldPosition="0">
        <references count="1">
          <reference field="3" count="0"/>
        </references>
      </pivotArea>
    </format>
    <format dxfId="198">
      <pivotArea dataOnly="0" labelOnly="1" fieldPosition="0">
        <references count="2">
          <reference field="1" count="1">
            <x v="2"/>
          </reference>
          <reference field="3" count="1" selected="0">
            <x v="0"/>
          </reference>
        </references>
      </pivotArea>
    </format>
    <format dxfId="197">
      <pivotArea dataOnly="0" labelOnly="1" fieldPosition="0">
        <references count="2">
          <reference field="1" count="2">
            <x v="0"/>
            <x v="1"/>
          </reference>
          <reference field="3" count="1" selected="0">
            <x v="1"/>
          </reference>
        </references>
      </pivotArea>
    </format>
    <format dxfId="196">
      <pivotArea dataOnly="0" labelOnly="1" fieldPosition="0">
        <references count="2">
          <reference field="1" count="0"/>
          <reference field="3" count="1" selected="0">
            <x v="2"/>
          </reference>
        </references>
      </pivotArea>
    </format>
    <format dxfId="195">
      <pivotArea collapsedLevelsAreSubtotals="1" fieldPosition="0">
        <references count="1">
          <reference field="3" count="1">
            <x v="0"/>
          </reference>
        </references>
      </pivotArea>
    </format>
    <format dxfId="194">
      <pivotArea collapsedLevelsAreSubtotals="1" fieldPosition="0">
        <references count="1">
          <reference field="3" count="1">
            <x v="1"/>
          </reference>
        </references>
      </pivotArea>
    </format>
    <format dxfId="193">
      <pivotArea collapsedLevelsAreSubtotals="1" fieldPosition="0">
        <references count="1">
          <reference field="3" count="1">
            <x v="2"/>
          </reference>
        </references>
      </pivotArea>
    </format>
    <format dxfId="192">
      <pivotArea type="all" dataOnly="0" outline="0" fieldPosition="0"/>
    </format>
    <format dxfId="191">
      <pivotArea outline="0" collapsedLevelsAreSubtotals="1" fieldPosition="0"/>
    </format>
    <format dxfId="190">
      <pivotArea field="3" type="button" dataOnly="0" labelOnly="1" outline="0" axis="axisRow" fieldPosition="1"/>
    </format>
    <format dxfId="189">
      <pivotArea dataOnly="0" labelOnly="1" fieldPosition="0">
        <references count="1">
          <reference field="3" count="0"/>
        </references>
      </pivotArea>
    </format>
    <format dxfId="188">
      <pivotArea dataOnly="0" labelOnly="1" grandRow="1" outline="0" fieldPosition="0"/>
    </format>
    <format dxfId="187">
      <pivotArea dataOnly="0" labelOnly="1" outline="0" fieldPosition="0">
        <references count="1">
          <reference field="4294967294" count="3">
            <x v="0"/>
            <x v="1"/>
            <x v="2"/>
          </reference>
        </references>
      </pivotArea>
    </format>
    <format dxfId="186">
      <pivotArea type="all" dataOnly="0" outline="0" fieldPosition="0"/>
    </format>
    <format dxfId="185">
      <pivotArea outline="0" collapsedLevelsAreSubtotals="1" fieldPosition="0"/>
    </format>
    <format dxfId="184">
      <pivotArea field="3" type="button" dataOnly="0" labelOnly="1" outline="0" axis="axisRow" fieldPosition="1"/>
    </format>
    <format dxfId="183">
      <pivotArea dataOnly="0" labelOnly="1" fieldPosition="0">
        <references count="1">
          <reference field="3" count="0"/>
        </references>
      </pivotArea>
    </format>
    <format dxfId="182">
      <pivotArea dataOnly="0" labelOnly="1" grandRow="1" outline="0" fieldPosition="0"/>
    </format>
    <format dxfId="181">
      <pivotArea dataOnly="0" labelOnly="1" outline="0" fieldPosition="0">
        <references count="1">
          <reference field="4294967294" count="3">
            <x v="0"/>
            <x v="1"/>
            <x v="2"/>
          </reference>
        </references>
      </pivotArea>
    </format>
    <format dxfId="180">
      <pivotArea collapsedLevelsAreSubtotals="1" fieldPosition="0">
        <references count="1">
          <reference field="3" count="1">
            <x v="0"/>
          </reference>
        </references>
      </pivotArea>
    </format>
    <format dxfId="179">
      <pivotArea collapsedLevelsAreSubtotals="1" fieldPosition="0">
        <references count="1">
          <reference field="3" count="1">
            <x v="1"/>
          </reference>
        </references>
      </pivotArea>
    </format>
    <format dxfId="178">
      <pivotArea collapsedLevelsAreSubtotals="1" fieldPosition="0">
        <references count="1">
          <reference field="3" count="1">
            <x v="2"/>
          </reference>
        </references>
      </pivotArea>
    </format>
    <format dxfId="177">
      <pivotArea type="all" dataOnly="0" outline="0" fieldPosition="0"/>
    </format>
    <format dxfId="176">
      <pivotArea outline="0" collapsedLevelsAreSubtotals="1" fieldPosition="0"/>
    </format>
    <format dxfId="175">
      <pivotArea field="3" type="button" dataOnly="0" labelOnly="1" outline="0" axis="axisRow" fieldPosition="1"/>
    </format>
    <format dxfId="174">
      <pivotArea dataOnly="0" labelOnly="1" fieldPosition="0">
        <references count="1">
          <reference field="3" count="0"/>
        </references>
      </pivotArea>
    </format>
    <format dxfId="17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EABB5-BD82-48A5-8264-1703CC7BF3A2}" name="PivotTable1"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Platform">
  <location ref="A4:B7" firstHeaderRow="1" firstDataRow="1" firstDataCol="1"/>
  <pivotFields count="2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dragToRow="0" dragToCol="0" dragToPage="0" showAll="0" defaultSubtotal="0"/>
  </pivotFields>
  <rowFields count="1">
    <field x="1"/>
  </rowFields>
  <rowItems count="3">
    <i>
      <x/>
    </i>
    <i>
      <x v="1"/>
    </i>
    <i>
      <x v="2"/>
    </i>
  </rowItems>
  <colItems count="1">
    <i/>
  </colItems>
  <dataFields count="1">
    <dataField name="Sum of Engaement Rate" fld="19" baseField="0" baseItem="0"/>
  </dataFields>
  <formats count="26">
    <format dxfId="249">
      <pivotArea type="all" dataOnly="0" outline="0" fieldPosition="0"/>
    </format>
    <format dxfId="248">
      <pivotArea outline="0" collapsedLevelsAreSubtotals="1" fieldPosition="0"/>
    </format>
    <format dxfId="247">
      <pivotArea field="1" type="button" dataOnly="0" labelOnly="1" outline="0" axis="axisRow" fieldPosition="0"/>
    </format>
    <format dxfId="246">
      <pivotArea dataOnly="0" labelOnly="1" fieldPosition="0">
        <references count="1">
          <reference field="1" count="0"/>
        </references>
      </pivotArea>
    </format>
    <format dxfId="245">
      <pivotArea dataOnly="0" labelOnly="1" grandRow="1" outline="0" fieldPosition="0"/>
    </format>
    <format dxfId="244">
      <pivotArea dataOnly="0" labelOnly="1" outline="0" axis="axisValues" fieldPosition="0"/>
    </format>
    <format dxfId="243">
      <pivotArea type="all" dataOnly="0" outline="0" fieldPosition="0"/>
    </format>
    <format dxfId="242">
      <pivotArea dataOnly="0" labelOnly="1" grandRow="1" outline="0" fieldPosition="0"/>
    </format>
    <format dxfId="241">
      <pivotArea type="all" dataOnly="0" outline="0" fieldPosition="0"/>
    </format>
    <format dxfId="240">
      <pivotArea dataOnly="0" labelOnly="1" grandRow="1" outline="0" fieldPosition="0"/>
    </format>
    <format dxfId="239">
      <pivotArea collapsedLevelsAreSubtotals="1" fieldPosition="0">
        <references count="1">
          <reference field="1" count="0"/>
        </references>
      </pivotArea>
    </format>
    <format dxfId="238">
      <pivotArea type="all" dataOnly="0" outline="0" fieldPosition="0"/>
    </format>
    <format dxfId="237">
      <pivotArea outline="0" collapsedLevelsAreSubtotals="1" fieldPosition="0"/>
    </format>
    <format dxfId="236">
      <pivotArea field="1" type="button" dataOnly="0" labelOnly="1" outline="0" axis="axisRow" fieldPosition="0"/>
    </format>
    <format dxfId="235">
      <pivotArea dataOnly="0" labelOnly="1" fieldPosition="0">
        <references count="1">
          <reference field="1" count="0"/>
        </references>
      </pivotArea>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1" type="button" dataOnly="0" labelOnly="1" outline="0" axis="axisRow" fieldPosition="0"/>
    </format>
    <format dxfId="230">
      <pivotArea dataOnly="0" labelOnly="1" fieldPosition="0">
        <references count="1">
          <reference field="1" count="0"/>
        </references>
      </pivotArea>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1" type="button" dataOnly="0" labelOnly="1" outline="0" axis="axisRow" fieldPosition="0"/>
    </format>
    <format dxfId="225">
      <pivotArea dataOnly="0" labelOnly="1" fieldPosition="0">
        <references count="1">
          <reference field="1" count="0"/>
        </references>
      </pivotArea>
    </format>
    <format dxfId="2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5914E-D80C-4DDD-9379-A5AA18A775D8}" name="PivotTable2" cacheId="2" applyNumberFormats="0" applyBorderFormats="0" applyFontFormats="0" applyPatternFormats="0" applyAlignmentFormats="0" applyWidthHeightFormats="1" dataCaption="Values" errorCaption="Null" showError="1" updatedVersion="7" minRefreshableVersion="3" useAutoFormatting="1" rowGrandTotals="0" itemPrintTitles="1" createdVersion="7" indent="0" outline="1" outlineData="1" multipleFieldFilters="0" rowHeaderCaption="Posts" fieldListSortAscending="1">
  <location ref="E4:I15" firstHeaderRow="1" firstDataRow="2" firstDataCol="1"/>
  <pivotFields count="20">
    <pivotField axis="axisRow" showAll="0" measureFilter="1" sortType="descending">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autoSortScope>
        <pivotArea dataOnly="0" outline="0" fieldPosition="0">
          <references count="1">
            <reference field="4294967294" count="1" selected="0">
              <x v="0"/>
            </reference>
          </references>
        </pivotArea>
      </autoSortScope>
    </pivotField>
    <pivotField axis="axisCol" showAll="0">
      <items count="4">
        <item x="0"/>
        <item x="1"/>
        <item x="2"/>
        <item t="default"/>
      </items>
    </pivotField>
    <pivotField showAll="0"/>
    <pivotField showAll="0"/>
    <pivotField showAll="0" sortType="descending">
      <items count="11">
        <item x="0"/>
        <item x="1"/>
        <item x="8"/>
        <item x="6"/>
        <item x="4"/>
        <item x="2"/>
        <item x="7"/>
        <item x="5"/>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dragToRow="0" dragToCol="0" dragToPage="0" showAll="0" defaultSubtotal="0"/>
  </pivotFields>
  <rowFields count="1">
    <field x="0"/>
  </rowFields>
  <rowItems count="10">
    <i>
      <x v="6"/>
    </i>
    <i>
      <x v="105"/>
    </i>
    <i>
      <x v="185"/>
    </i>
    <i>
      <x v="278"/>
    </i>
    <i>
      <x v="49"/>
    </i>
    <i>
      <x v="21"/>
    </i>
    <i>
      <x v="156"/>
    </i>
    <i>
      <x v="247"/>
    </i>
    <i>
      <x v="135"/>
    </i>
    <i>
      <x v="67"/>
    </i>
  </rowItems>
  <colFields count="1">
    <field x="1"/>
  </colFields>
  <colItems count="4">
    <i>
      <x/>
    </i>
    <i>
      <x v="1"/>
    </i>
    <i>
      <x v="2"/>
    </i>
    <i t="grand">
      <x/>
    </i>
  </colItems>
  <dataFields count="1">
    <dataField name=" Engaement Rate" fld="19" baseField="0" baseItem="0" numFmtId="164"/>
  </dataFields>
  <formats count="28">
    <format dxfId="277">
      <pivotArea type="all" dataOnly="0" outline="0" fieldPosition="0"/>
    </format>
    <format dxfId="276">
      <pivotArea outline="0" collapsedLevelsAreSubtotals="1" fieldPosition="0"/>
    </format>
    <format dxfId="275">
      <pivotArea field="1" type="button" dataOnly="0" labelOnly="1" outline="0" axis="axisCol" fieldPosition="0"/>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1" type="button" dataOnly="0" labelOnly="1" outline="0" axis="axisCol" fieldPosition="0"/>
    </format>
    <format dxfId="269">
      <pivotArea dataOnly="0" labelOnly="1" grandRow="1" outline="0"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field="4" type="button" dataOnly="0" labelOnly="1" outline="0"/>
    </format>
    <format dxfId="264">
      <pivotArea dataOnly="0" labelOnly="1" grandRow="1" outline="0" fieldPosition="0"/>
    </format>
    <format dxfId="263">
      <pivotArea dataOnly="0" labelOnly="1" outline="0" axis="axisValues" fieldPosition="0"/>
    </format>
    <format dxfId="262">
      <pivotArea type="all" dataOnly="0" outline="0" fieldPosition="0"/>
    </format>
    <format dxfId="261">
      <pivotArea outline="0" collapsedLevelsAreSubtotals="1" fieldPosition="0"/>
    </format>
    <format dxfId="260">
      <pivotArea field="4" type="button" dataOnly="0" labelOnly="1" outline="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4" type="button" dataOnly="0" labelOnly="1" outline="0"/>
    </format>
    <format dxfId="255">
      <pivotArea dataOnly="0" labelOnly="1" outline="0" axis="axisValues" fieldPosition="0"/>
    </format>
    <format dxfId="254">
      <pivotArea outline="0" collapsedLevelsAreSubtotals="1" fieldPosition="0"/>
    </format>
    <format dxfId="253">
      <pivotArea type="all" dataOnly="0" outline="0" fieldPosition="0"/>
    </format>
    <format dxfId="252">
      <pivotArea outline="0" collapsedLevelsAreSubtotals="1" fieldPosition="0"/>
    </format>
    <format dxfId="251">
      <pivotArea field="4" type="button" dataOnly="0" labelOnly="1" outline="0"/>
    </format>
    <format dxfId="250">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A6844-897B-4763-9634-123B133F71CE}" name="PivotTable6"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Hastag">
  <location ref="A11:B15" firstHeaderRow="1" firstDataRow="1" firstDataCol="1"/>
  <pivotFields count="2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axis="axisRow" showAll="0">
      <items count="5">
        <item sd="0" x="1"/>
        <item sd="0" x="2"/>
        <item sd="0" x="3"/>
        <item sd="0" x="0"/>
        <item t="default"/>
      </items>
    </pivotField>
    <pivotField axis="axisRow" showAll="0">
      <items count="6">
        <item x="3"/>
        <item x="0"/>
        <item x="4"/>
        <item x="2"/>
        <item x="1"/>
        <item t="default"/>
      </items>
    </pivotField>
    <pivotField showAll="0"/>
    <pivotField showAll="0"/>
    <pivotField numFmtId="164" showAll="0"/>
    <pivotField numFmtId="164" showAll="0"/>
    <pivotField numFmtId="164" showAll="0"/>
    <pivotField numFmtId="164" showAll="0"/>
    <pivotField dragToRow="0" dragToCol="0" dragToPage="0" showAll="0" defaultSubtotal="0"/>
  </pivotFields>
  <rowFields count="2">
    <field x="11"/>
    <field x="12"/>
  </rowFields>
  <rowItems count="4">
    <i>
      <x/>
    </i>
    <i>
      <x v="1"/>
    </i>
    <i>
      <x v="2"/>
    </i>
    <i>
      <x v="3"/>
    </i>
  </rowItems>
  <colItems count="1">
    <i/>
  </colItems>
  <dataFields count="1">
    <dataField name="Average of Clicks" fld="10" subtotal="average" baseField="11" baseItem="1" numFmtId="164"/>
  </dataFields>
  <formats count="23">
    <format dxfId="300">
      <pivotArea type="all" dataOnly="0" outline="0" fieldPosition="0"/>
    </format>
    <format dxfId="299">
      <pivotArea outline="0" collapsedLevelsAreSubtotals="1" fieldPosition="0"/>
    </format>
    <format dxfId="298">
      <pivotArea field="1" type="button" dataOnly="0" labelOnly="1" outline="0"/>
    </format>
    <format dxfId="297">
      <pivotArea dataOnly="0" labelOnly="1" grandRow="1" outline="0" fieldPosition="0"/>
    </format>
    <format dxfId="296">
      <pivotArea dataOnly="0" labelOnly="1" outline="0" axis="axisValues" fieldPosition="0"/>
    </format>
    <format dxfId="295">
      <pivotArea outline="0" collapsedLevelsAreSubtotals="1" fieldPosition="0"/>
    </format>
    <format dxfId="294">
      <pivotArea type="all" dataOnly="0" outline="0" fieldPosition="0"/>
    </format>
    <format dxfId="293">
      <pivotArea outline="0" collapsedLevelsAreSubtotals="1" fieldPosition="0"/>
    </format>
    <format dxfId="292">
      <pivotArea field="11" type="button" dataOnly="0" labelOnly="1" outline="0" axis="axisRow" fieldPosition="0"/>
    </format>
    <format dxfId="291">
      <pivotArea dataOnly="0" labelOnly="1" fieldPosition="0">
        <references count="1">
          <reference field="11"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11" type="button" dataOnly="0" labelOnly="1" outline="0" axis="axisRow" fieldPosition="0"/>
    </format>
    <format dxfId="285">
      <pivotArea dataOnly="0" labelOnly="1" fieldPosition="0">
        <references count="1">
          <reference field="11"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11" type="button" dataOnly="0" labelOnly="1" outline="0" axis="axisRow" fieldPosition="0"/>
    </format>
    <format dxfId="279">
      <pivotArea dataOnly="0" labelOnly="1" fieldPosition="0">
        <references count="1">
          <reference field="11" count="0"/>
        </references>
      </pivotArea>
    </format>
    <format dxfId="2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87D2E9-0BD3-44BB-9455-91E155B20D61}" name="PivotTable5"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Hastag">
  <location ref="F19:G27" firstHeaderRow="1" firstDataRow="1" firstDataCol="1"/>
  <pivotFields count="2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axis="axisRow" showAll="0">
      <items count="6">
        <item x="3"/>
        <item x="0"/>
        <item x="4"/>
        <item x="2"/>
        <item x="1"/>
        <item t="default"/>
      </items>
    </pivotField>
    <pivotField showAll="0"/>
    <pivotField showAll="0"/>
    <pivotField numFmtId="164" showAll="0"/>
    <pivotField numFmtId="164" showAll="0"/>
    <pivotField numFmtId="164" showAll="0"/>
    <pivotField numFmtId="164" showAll="0"/>
    <pivotField dataField="1" dragToRow="0" dragToCol="0" dragToPage="0" showAll="0" defaultSubtotal="0"/>
  </pivotFields>
  <rowFields count="2">
    <field x="11"/>
    <field x="12"/>
  </rowFields>
  <rowItems count="8">
    <i>
      <x v="3"/>
    </i>
    <i r="1">
      <x v="1"/>
    </i>
    <i>
      <x v="1"/>
    </i>
    <i r="1">
      <x v="1"/>
    </i>
    <i>
      <x/>
    </i>
    <i r="1">
      <x/>
    </i>
    <i r="1">
      <x v="2"/>
    </i>
    <i r="1">
      <x v="3"/>
    </i>
  </rowItems>
  <colItems count="1">
    <i/>
  </colItems>
  <dataFields count="1">
    <dataField name=" Engaement Rate" fld="19" baseField="0" baseItem="0"/>
  </dataFields>
  <formats count="39">
    <format dxfId="339">
      <pivotArea type="all" dataOnly="0" outline="0" fieldPosition="0"/>
    </format>
    <format dxfId="338">
      <pivotArea outline="0" collapsedLevelsAreSubtotals="1" fieldPosition="0"/>
    </format>
    <format dxfId="337">
      <pivotArea field="1" type="button" dataOnly="0" labelOnly="1" outline="0"/>
    </format>
    <format dxfId="336">
      <pivotArea dataOnly="0" labelOnly="1" grandRow="1" outline="0" fieldPosition="0"/>
    </format>
    <format dxfId="335">
      <pivotArea dataOnly="0" labelOnly="1" outline="0" axis="axisValues" fieldPosition="0"/>
    </format>
    <format dxfId="334">
      <pivotArea outline="0" collapsedLevelsAreSubtotals="1" fieldPosition="0"/>
    </format>
    <format dxfId="333">
      <pivotArea type="all" dataOnly="0" outline="0" fieldPosition="0"/>
    </format>
    <format dxfId="332">
      <pivotArea outline="0" collapsedLevelsAreSubtotals="1" fieldPosition="0"/>
    </format>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dataOnly="0" labelOnly="1" grandRow="1" outline="0" fieldPosition="0"/>
    </format>
    <format dxfId="327">
      <pivotArea dataOnly="0" labelOnly="1" outline="0" axis="axisValues" fieldPosition="0"/>
    </format>
    <format dxfId="326">
      <pivotArea outline="0" collapsedLevelsAreSubtotals="1"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11" type="button" dataOnly="0" labelOnly="1" outline="0" axis="axisRow" fieldPosition="0"/>
    </format>
    <format dxfId="321">
      <pivotArea dataOnly="0" labelOnly="1" fieldPosition="0">
        <references count="1">
          <reference field="11" count="3">
            <x v="0"/>
            <x v="1"/>
            <x v="3"/>
          </reference>
        </references>
      </pivotArea>
    </format>
    <format dxfId="320">
      <pivotArea dataOnly="0" labelOnly="1" fieldPosition="0">
        <references count="2">
          <reference field="11" count="1" selected="0">
            <x v="0"/>
          </reference>
          <reference field="12" count="3">
            <x v="0"/>
            <x v="2"/>
            <x v="3"/>
          </reference>
        </references>
      </pivotArea>
    </format>
    <format dxfId="319">
      <pivotArea dataOnly="0" labelOnly="1" fieldPosition="0">
        <references count="2">
          <reference field="11" count="1" selected="0">
            <x v="1"/>
          </reference>
          <reference field="12" count="1">
            <x v="1"/>
          </reference>
        </references>
      </pivotArea>
    </format>
    <format dxfId="318">
      <pivotArea dataOnly="0" labelOnly="1" fieldPosition="0">
        <references count="2">
          <reference field="11" count="1" selected="0">
            <x v="3"/>
          </reference>
          <reference field="12" count="1">
            <x v="1"/>
          </reference>
        </references>
      </pivotArea>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field="11" type="button" dataOnly="0" labelOnly="1" outline="0" axis="axisRow" fieldPosition="0"/>
    </format>
    <format dxfId="313">
      <pivotArea dataOnly="0" labelOnly="1" fieldPosition="0">
        <references count="1">
          <reference field="11" count="3">
            <x v="0"/>
            <x v="1"/>
            <x v="3"/>
          </reference>
        </references>
      </pivotArea>
    </format>
    <format dxfId="312">
      <pivotArea dataOnly="0" labelOnly="1" fieldPosition="0">
        <references count="2">
          <reference field="11" count="1" selected="0">
            <x v="0"/>
          </reference>
          <reference field="12" count="3">
            <x v="0"/>
            <x v="2"/>
            <x v="3"/>
          </reference>
        </references>
      </pivotArea>
    </format>
    <format dxfId="311">
      <pivotArea dataOnly="0" labelOnly="1" fieldPosition="0">
        <references count="2">
          <reference field="11" count="1" selected="0">
            <x v="1"/>
          </reference>
          <reference field="12" count="1">
            <x v="1"/>
          </reference>
        </references>
      </pivotArea>
    </format>
    <format dxfId="310">
      <pivotArea dataOnly="0" labelOnly="1" fieldPosition="0">
        <references count="2">
          <reference field="11" count="1" selected="0">
            <x v="3"/>
          </reference>
          <reference field="12" count="1">
            <x v="1"/>
          </reference>
        </references>
      </pivotArea>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field="11" type="button" dataOnly="0" labelOnly="1" outline="0" axis="axisRow" fieldPosition="0"/>
    </format>
    <format dxfId="305">
      <pivotArea dataOnly="0" labelOnly="1" fieldPosition="0">
        <references count="1">
          <reference field="11" count="3">
            <x v="0"/>
            <x v="1"/>
            <x v="3"/>
          </reference>
        </references>
      </pivotArea>
    </format>
    <format dxfId="304">
      <pivotArea dataOnly="0" labelOnly="1" fieldPosition="0">
        <references count="2">
          <reference field="11" count="1" selected="0">
            <x v="3"/>
          </reference>
          <reference field="12" count="1">
            <x v="1"/>
          </reference>
        </references>
      </pivotArea>
    </format>
    <format dxfId="303">
      <pivotArea dataOnly="0" labelOnly="1" fieldPosition="0">
        <references count="2">
          <reference field="11" count="1" selected="0">
            <x v="1"/>
          </reference>
          <reference field="12" count="1">
            <x v="1"/>
          </reference>
        </references>
      </pivotArea>
    </format>
    <format dxfId="302">
      <pivotArea dataOnly="0" labelOnly="1" fieldPosition="0">
        <references count="2">
          <reference field="11" count="1" selected="0">
            <x v="0"/>
          </reference>
          <reference field="12" count="3">
            <x v="0"/>
            <x v="2"/>
            <x v="3"/>
          </reference>
        </references>
      </pivotArea>
    </format>
    <format dxfId="301">
      <pivotArea dataOnly="0" labelOnly="1" outline="0" axis="axisValues" fieldPosition="0"/>
    </format>
  </formats>
  <pivotTableStyleInfo name="PivotStyleLight16" showRowHeaders="1" showColHeaders="1" showRowStripes="0" showColStripes="0" showLastColumn="1"/>
  <filters count="1">
    <filter fld="12" type="captionNotContains" evalOrder="-1" id="2" stringValue1="Null">
      <autoFilter ref="A1">
        <filterColumn colId="0">
          <customFilters>
            <customFilter operator="notEqual" val="*Null*"/>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9FBE7-6608-454F-9B86-641997B31586}"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latform">
  <location ref="G5:I10" firstHeaderRow="1" firstDataRow="2" firstDataCol="1"/>
  <pivotFields count="11">
    <pivotField numFmtId="14" showAll="0">
      <items count="15">
        <item x="0"/>
        <item x="1"/>
        <item x="2"/>
        <item x="3"/>
        <item x="4"/>
        <item x="5"/>
        <item x="6"/>
        <item x="7"/>
        <item x="8"/>
        <item x="9"/>
        <item x="10"/>
        <item x="11"/>
        <item x="12"/>
        <item x="13"/>
        <item t="default"/>
      </items>
    </pivotField>
    <pivotField axis="axisRow" showAll="0">
      <items count="4">
        <item sd="0" x="0"/>
        <item sd="0" x="1"/>
        <item sd="0" x="2"/>
        <item t="default"/>
      </items>
    </pivotField>
    <pivotField showAll="0"/>
    <pivotField showAll="0"/>
    <pivotField showAll="0"/>
    <pivotField dataField="1" showAll="0"/>
    <pivotField dataField="1" showAll="0"/>
    <pivotField numFmtId="168" showAll="0"/>
    <pivotField showAll="0"/>
    <pivotField showAll="0"/>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Total Ad_Spend" fld="6" baseField="0" baseItem="0"/>
    <dataField name="Total Engagement_Rate" fld="5" baseField="0" baseItem="0"/>
  </dataFields>
  <chartFormats count="8">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3EC3E-A907-4E69-9B46-E927CE51255B}"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latform">
  <location ref="A5:B9" firstHeaderRow="1" firstDataRow="1" firstDataCol="1"/>
  <pivotFields count="11">
    <pivotField numFmtId="14" showAll="0">
      <items count="15">
        <item x="0"/>
        <item x="1"/>
        <item x="2"/>
        <item x="3"/>
        <item x="4"/>
        <item x="5"/>
        <item x="6"/>
        <item x="7"/>
        <item x="8"/>
        <item x="9"/>
        <item x="10"/>
        <item x="11"/>
        <item x="12"/>
        <item x="13"/>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68" showAll="0"/>
    <pivotField showAll="0"/>
    <pivotField showAll="0"/>
    <pivotField dragToRow="0" dragToCol="0" dragToPage="0" showAll="0" defaultSubtotal="0"/>
  </pivotFields>
  <rowFields count="1">
    <field x="1"/>
  </rowFields>
  <rowItems count="4">
    <i>
      <x v="1"/>
    </i>
    <i>
      <x v="2"/>
    </i>
    <i>
      <x/>
    </i>
    <i t="grand">
      <x/>
    </i>
  </rowItems>
  <colItems count="1">
    <i/>
  </colItems>
  <dataFields count="1">
    <dataField name=" engagement rate" fld="5" showDataAs="percentOfTotal" baseField="1"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34264E-239B-47EE-867F-E04BD8820C0C}"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latform">
  <location ref="D5:E9"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axis="axisRow" showAll="0" sortType="ascending">
      <items count="4">
        <item sd="0" x="0"/>
        <item sd="0" x="1"/>
        <item sd="0"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8" showAll="0"/>
    <pivotField showAll="0"/>
    <pivotField showAll="0"/>
    <pivotField dataField="1" dragToRow="0" dragToCol="0" dragToPage="0" showAll="0" defaultSubtotal="0"/>
  </pivotFields>
  <rowFields count="2">
    <field x="1"/>
    <field x="0"/>
  </rowFields>
  <rowItems count="4">
    <i>
      <x v="1"/>
    </i>
    <i>
      <x v="2"/>
    </i>
    <i>
      <x/>
    </i>
    <i t="grand">
      <x/>
    </i>
  </rowItems>
  <colItems count="1">
    <i/>
  </colItems>
  <dataFields count="1">
    <dataField name="Sum of Grouth rate" fld="10" showDataAs="percentOfTotal" baseField="1"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37F6C2-8AC3-48B1-B041-41D464770D61}" name="PivotTable2" cacheId="2" applyNumberFormats="0" applyBorderFormats="0" applyFontFormats="0" applyPatternFormats="0" applyAlignmentFormats="0" applyWidthHeightFormats="1" dataCaption="Values" errorCaption="Null" showError="1" missingCaption="Null" updatedVersion="7" minRefreshableVersion="3" useAutoFormatting="1" rowGrandTotals="0" colGrandTotals="0" itemPrintTitles="1" mergeItem="1" createdVersion="7" indent="0" outline="1" outlineData="1" multipleFieldFilters="0">
  <location ref="D4:G8" firstHeaderRow="1" firstDataRow="2" firstDataCol="1"/>
  <pivotFields count="20">
    <pivotField showAll="0"/>
    <pivotField axis="axisCol" showAll="0">
      <items count="4">
        <item x="0"/>
        <item x="1"/>
        <item x="2"/>
        <item t="default"/>
      </items>
    </pivotField>
    <pivotField numFmtId="14"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dragToRow="0" dragToCol="0" dragToPage="0" showAll="0" defaultSubtotal="0"/>
  </pivotFields>
  <rowFields count="1">
    <field x="3"/>
  </rowFields>
  <rowItems count="3">
    <i>
      <x/>
    </i>
    <i>
      <x v="1"/>
    </i>
    <i>
      <x v="2"/>
    </i>
  </rowItems>
  <colFields count="1">
    <field x="1"/>
  </colFields>
  <colItems count="3">
    <i>
      <x/>
    </i>
    <i>
      <x v="1"/>
    </i>
    <i>
      <x v="2"/>
    </i>
  </colItems>
  <dataFields count="1">
    <dataField name=" " fld="19" subtotal="average" baseField="3" baseItem="0"/>
  </dataFields>
  <formats count="36">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 type="button" dataOnly="0" labelOnly="1" outline="0" axis="axisCol" fieldPosition="0"/>
    </format>
    <format dxfId="109">
      <pivotArea type="topRight" dataOnly="0" labelOnly="1" outline="0" fieldPosition="0"/>
    </format>
    <format dxfId="108">
      <pivotArea field="3" type="button" dataOnly="0" labelOnly="1" outline="0" axis="axisRow" fieldPosition="0"/>
    </format>
    <format dxfId="107">
      <pivotArea dataOnly="0" labelOnly="1" fieldPosition="0">
        <references count="1">
          <reference field="3" count="0"/>
        </references>
      </pivotArea>
    </format>
    <format dxfId="106">
      <pivotArea dataOnly="0" labelOnly="1" grandRow="1" outline="0" fieldPosition="0"/>
    </format>
    <format dxfId="105">
      <pivotArea dataOnly="0" labelOnly="1" fieldPosition="0">
        <references count="1">
          <reference field="1"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 type="button" dataOnly="0" labelOnly="1" outline="0" axis="axisCol" fieldPosition="0"/>
    </format>
    <format dxfId="99">
      <pivotArea type="topRight" dataOnly="0" labelOnly="1" outline="0"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fieldPosition="0">
        <references count="1">
          <reference field="1" count="0"/>
        </references>
      </pivotArea>
    </format>
    <format dxfId="94">
      <pivotArea dataOnly="0" labelOnly="1" grandCol="1" outline="0"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1" type="button" dataOnly="0" labelOnly="1" outline="0" axis="axisCol" fieldPosition="0"/>
    </format>
    <format dxfId="89">
      <pivotArea type="topRight" dataOnly="0" labelOnly="1" outline="0" fieldPosition="0"/>
    </format>
    <format dxfId="88">
      <pivotArea field="3" type="button" dataOnly="0" labelOnly="1" outline="0" axis="axisRow" fieldPosition="0"/>
    </format>
    <format dxfId="87">
      <pivotArea dataOnly="0" labelOnly="1" fieldPosition="0">
        <references count="1">
          <reference field="3" count="0"/>
        </references>
      </pivotArea>
    </format>
    <format dxfId="86">
      <pivotArea dataOnly="0" labelOnly="1" fieldPosition="0">
        <references count="1">
          <reference field="1" count="0"/>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type="topRight" dataOnly="0" labelOnly="1" outline="0" fieldPosition="0"/>
    </format>
    <format dxfId="80">
      <pivotArea field="3" type="button" dataOnly="0" labelOnly="1" outline="0" axis="axisRow" fieldPosition="0"/>
    </format>
    <format dxfId="79">
      <pivotArea dataOnly="0" labelOnly="1" fieldPosition="0">
        <references count="1">
          <reference field="3" count="0"/>
        </references>
      </pivotArea>
    </format>
    <format dxfId="7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809D2E-7A53-4DB0-B8A7-52459FA463FA}" name="PivotTable1"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4:B12" firstHeaderRow="1" firstDataRow="1" firstDataCol="1"/>
  <pivotFields count="20">
    <pivotField showAll="0"/>
    <pivotField showAll="0"/>
    <pivotField numFmtId="14"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axis="axisRow" showAll="0">
      <items count="6">
        <item x="3"/>
        <item x="0"/>
        <item x="4"/>
        <item x="2"/>
        <item h="1" x="1"/>
        <item t="default"/>
      </items>
    </pivotField>
    <pivotField showAll="0"/>
    <pivotField showAll="0"/>
    <pivotField numFmtId="164" showAll="0"/>
    <pivotField numFmtId="164" showAll="0"/>
    <pivotField numFmtId="164" showAll="0"/>
    <pivotField numFmtId="164" showAll="0"/>
    <pivotField dataField="1" dragToRow="0" dragToCol="0" dragToPage="0" showAll="0" defaultSubtotal="0"/>
  </pivotFields>
  <rowFields count="2">
    <field x="11"/>
    <field x="12"/>
  </rowFields>
  <rowItems count="8">
    <i>
      <x/>
    </i>
    <i r="1">
      <x/>
    </i>
    <i r="1">
      <x v="2"/>
    </i>
    <i r="1">
      <x v="3"/>
    </i>
    <i>
      <x v="1"/>
    </i>
    <i r="1">
      <x v="1"/>
    </i>
    <i>
      <x v="3"/>
    </i>
    <i r="1">
      <x v="1"/>
    </i>
  </rowItems>
  <colItems count="1">
    <i/>
  </colItems>
  <dataFields count="1">
    <dataField name="Sum of Engaement Rate" fld="19" baseField="0" baseItem="0"/>
  </dataFields>
  <formats count="40">
    <format dxfId="153">
      <pivotArea type="all" dataOnly="0" outline="0" fieldPosition="0"/>
    </format>
    <format dxfId="152">
      <pivotArea outline="0" collapsedLevelsAreSubtotals="1" fieldPosition="0"/>
    </format>
    <format dxfId="151">
      <pivotArea field="11" type="button" dataOnly="0" labelOnly="1" outline="0" axis="axisRow" fieldPosition="0"/>
    </format>
    <format dxfId="150">
      <pivotArea dataOnly="0" labelOnly="1" fieldPosition="0">
        <references count="1">
          <reference field="11" count="3">
            <x v="0"/>
            <x v="1"/>
            <x v="3"/>
          </reference>
        </references>
      </pivotArea>
    </format>
    <format dxfId="149">
      <pivotArea dataOnly="0" labelOnly="1" fieldPosition="0">
        <references count="2">
          <reference field="11" count="1" selected="0">
            <x v="0"/>
          </reference>
          <reference field="12" count="3">
            <x v="0"/>
            <x v="2"/>
            <x v="3"/>
          </reference>
        </references>
      </pivotArea>
    </format>
    <format dxfId="148">
      <pivotArea dataOnly="0" labelOnly="1" fieldPosition="0">
        <references count="2">
          <reference field="11" count="1" selected="0">
            <x v="1"/>
          </reference>
          <reference field="12" count="1">
            <x v="1"/>
          </reference>
        </references>
      </pivotArea>
    </format>
    <format dxfId="147">
      <pivotArea dataOnly="0" labelOnly="1" fieldPosition="0">
        <references count="2">
          <reference field="11" count="1" selected="0">
            <x v="3"/>
          </reference>
          <reference field="12" count="1">
            <x v="1"/>
          </reference>
        </references>
      </pivotArea>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11" type="button" dataOnly="0" labelOnly="1" outline="0" axis="axisRow" fieldPosition="0"/>
    </format>
    <format dxfId="142">
      <pivotArea dataOnly="0" labelOnly="1" fieldPosition="0">
        <references count="1">
          <reference field="11" count="3">
            <x v="0"/>
            <x v="1"/>
            <x v="3"/>
          </reference>
        </references>
      </pivotArea>
    </format>
    <format dxfId="141">
      <pivotArea dataOnly="0" labelOnly="1" fieldPosition="0">
        <references count="2">
          <reference field="11" count="1" selected="0">
            <x v="0"/>
          </reference>
          <reference field="12" count="3">
            <x v="0"/>
            <x v="2"/>
            <x v="3"/>
          </reference>
        </references>
      </pivotArea>
    </format>
    <format dxfId="140">
      <pivotArea dataOnly="0" labelOnly="1" fieldPosition="0">
        <references count="2">
          <reference field="11" count="1" selected="0">
            <x v="1"/>
          </reference>
          <reference field="12" count="1">
            <x v="1"/>
          </reference>
        </references>
      </pivotArea>
    </format>
    <format dxfId="139">
      <pivotArea dataOnly="0" labelOnly="1" fieldPosition="0">
        <references count="2">
          <reference field="11" count="1" selected="0">
            <x v="3"/>
          </reference>
          <reference field="12" count="1">
            <x v="1"/>
          </reference>
        </references>
      </pivotArea>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11" type="button" dataOnly="0" labelOnly="1" outline="0" axis="axisRow" fieldPosition="0"/>
    </format>
    <format dxfId="134">
      <pivotArea dataOnly="0" labelOnly="1" fieldPosition="0">
        <references count="1">
          <reference field="11" count="3">
            <x v="0"/>
            <x v="1"/>
            <x v="3"/>
          </reference>
        </references>
      </pivotArea>
    </format>
    <format dxfId="133">
      <pivotArea dataOnly="0" labelOnly="1" fieldPosition="0">
        <references count="2">
          <reference field="11" count="1" selected="0">
            <x v="0"/>
          </reference>
          <reference field="12" count="3">
            <x v="0"/>
            <x v="2"/>
            <x v="3"/>
          </reference>
        </references>
      </pivotArea>
    </format>
    <format dxfId="132">
      <pivotArea dataOnly="0" labelOnly="1" fieldPosition="0">
        <references count="2">
          <reference field="11" count="1" selected="0">
            <x v="1"/>
          </reference>
          <reference field="12" count="1">
            <x v="1"/>
          </reference>
        </references>
      </pivotArea>
    </format>
    <format dxfId="131">
      <pivotArea dataOnly="0" labelOnly="1" fieldPosition="0">
        <references count="2">
          <reference field="11" count="1" selected="0">
            <x v="3"/>
          </reference>
          <reference field="12" count="1">
            <x v="1"/>
          </reference>
        </references>
      </pivotArea>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1" type="button" dataOnly="0" labelOnly="1" outline="0" axis="axisRow" fieldPosition="0"/>
    </format>
    <format dxfId="126">
      <pivotArea dataOnly="0" labelOnly="1" fieldPosition="0">
        <references count="1">
          <reference field="11" count="3">
            <x v="0"/>
            <x v="1"/>
            <x v="3"/>
          </reference>
        </references>
      </pivotArea>
    </format>
    <format dxfId="125">
      <pivotArea dataOnly="0" labelOnly="1" fieldPosition="0">
        <references count="2">
          <reference field="11" count="1" selected="0">
            <x v="0"/>
          </reference>
          <reference field="12" count="3">
            <x v="0"/>
            <x v="2"/>
            <x v="3"/>
          </reference>
        </references>
      </pivotArea>
    </format>
    <format dxfId="124">
      <pivotArea dataOnly="0" labelOnly="1" fieldPosition="0">
        <references count="2">
          <reference field="11" count="1" selected="0">
            <x v="1"/>
          </reference>
          <reference field="12" count="1">
            <x v="1"/>
          </reference>
        </references>
      </pivotArea>
    </format>
    <format dxfId="123">
      <pivotArea dataOnly="0" labelOnly="1" fieldPosition="0">
        <references count="2">
          <reference field="11" count="1" selected="0">
            <x v="3"/>
          </reference>
          <reference field="12" count="1">
            <x v="1"/>
          </reference>
        </references>
      </pivotArea>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1" type="button" dataOnly="0" labelOnly="1" outline="0" axis="axisRow" fieldPosition="0"/>
    </format>
    <format dxfId="118">
      <pivotArea dataOnly="0" labelOnly="1" fieldPosition="0">
        <references count="1">
          <reference field="11" count="3">
            <x v="0"/>
            <x v="1"/>
            <x v="3"/>
          </reference>
        </references>
      </pivotArea>
    </format>
    <format dxfId="117">
      <pivotArea dataOnly="0" labelOnly="1" fieldPosition="0">
        <references count="2">
          <reference field="11" count="1" selected="0">
            <x v="0"/>
          </reference>
          <reference field="12" count="3">
            <x v="0"/>
            <x v="2"/>
            <x v="3"/>
          </reference>
        </references>
      </pivotArea>
    </format>
    <format dxfId="116">
      <pivotArea dataOnly="0" labelOnly="1" fieldPosition="0">
        <references count="2">
          <reference field="11" count="1" selected="0">
            <x v="1"/>
          </reference>
          <reference field="12" count="1">
            <x v="1"/>
          </reference>
        </references>
      </pivotArea>
    </format>
    <format dxfId="115">
      <pivotArea dataOnly="0" labelOnly="1" fieldPosition="0">
        <references count="2">
          <reference field="11" count="1" selected="0">
            <x v="3"/>
          </reference>
          <reference field="12" count="1">
            <x v="1"/>
          </reference>
        </references>
      </pivotArea>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1C8360-BDAA-4F35-8A80-1C31D1F42DDC}" name="PivotTable3" cacheId="2" applyNumberFormats="0" applyBorderFormats="0" applyFontFormats="0" applyPatternFormats="0" applyAlignmentFormats="0" applyWidthHeightFormats="1" dataCaption="Values" errorCaption="Null" showError="1" updatedVersion="7" minRefreshableVersion="3" useAutoFormatting="1" colGrandTotals="0" itemPrintTitles="1" createdVersion="7" indent="0" outline="1" outlineData="1" multipleFieldFilters="0" chartFormat="2">
  <location ref="A15:D20" firstHeaderRow="1" firstDataRow="2" firstDataCol="1"/>
  <pivotFields count="20">
    <pivotField showAll="0"/>
    <pivotField axis="axisRow" showAll="0">
      <items count="4">
        <item x="0"/>
        <item x="1"/>
        <item x="2"/>
        <item t="default"/>
      </items>
    </pivotField>
    <pivotField numFmtId="14"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dragToRow="0" dragToCol="0" dragToPage="0" showAll="0" defaultSubtotal="0"/>
  </pivotFields>
  <rowFields count="1">
    <field x="1"/>
  </rowFields>
  <rowItems count="4">
    <i>
      <x/>
    </i>
    <i>
      <x v="1"/>
    </i>
    <i>
      <x v="2"/>
    </i>
    <i t="grand">
      <x/>
    </i>
  </rowItems>
  <colFields count="1">
    <field x="3"/>
  </colFields>
  <colItems count="3">
    <i>
      <x/>
    </i>
    <i>
      <x v="1"/>
    </i>
    <i>
      <x v="2"/>
    </i>
  </colItems>
  <dataFields count="1">
    <dataField name="Sum of Engaement Rate" fld="19" baseField="0" baseItem="0"/>
  </dataFields>
  <formats count="19">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3" type="button" dataOnly="0" labelOnly="1" outline="0" axis="axisCol" fieldPosition="0"/>
    </format>
    <format dxfId="168">
      <pivotArea type="topRight" dataOnly="0" labelOnly="1" outline="0" fieldPosition="0"/>
    </format>
    <format dxfId="167">
      <pivotArea field="1" type="button" dataOnly="0" labelOnly="1" outline="0" axis="axisRow" fieldPosition="0"/>
    </format>
    <format dxfId="166">
      <pivotArea dataOnly="0" labelOnly="1" fieldPosition="0">
        <references count="1">
          <reference field="1" count="0"/>
        </references>
      </pivotArea>
    </format>
    <format dxfId="165">
      <pivotArea dataOnly="0" labelOnly="1" grandRow="1" outline="0" fieldPosition="0"/>
    </format>
    <format dxfId="164">
      <pivotArea dataOnly="0" labelOnly="1" fieldPosition="0">
        <references count="1">
          <reference field="3" count="0"/>
        </references>
      </pivotArea>
    </format>
    <format dxfId="163">
      <pivotArea dataOnly="0" labelOnly="1" grandCol="1" outline="0" fieldPosition="0"/>
    </format>
    <format dxfId="162">
      <pivotArea type="all" dataOnly="0" outline="0" fieldPosition="0"/>
    </format>
    <format dxfId="161">
      <pivotArea outline="0" collapsedLevelsAreSubtotals="1" fieldPosition="0"/>
    </format>
    <format dxfId="160">
      <pivotArea type="origin" dataOnly="0" labelOnly="1" outline="0" fieldPosition="0"/>
    </format>
    <format dxfId="159">
      <pivotArea field="3" type="button" dataOnly="0" labelOnly="1" outline="0" axis="axisCol" fieldPosition="0"/>
    </format>
    <format dxfId="158">
      <pivotArea type="topRight" dataOnly="0" labelOnly="1" outline="0" fieldPosition="0"/>
    </format>
    <format dxfId="157">
      <pivotArea field="1" type="button" dataOnly="0" labelOnly="1" outline="0" axis="axisRow" fieldPosition="0"/>
    </format>
    <format dxfId="156">
      <pivotArea dataOnly="0" labelOnly="1" fieldPosition="0">
        <references count="1">
          <reference field="1" count="0"/>
        </references>
      </pivotArea>
    </format>
    <format dxfId="155">
      <pivotArea dataOnly="0" labelOnly="1" grandRow="1" outline="0" fieldPosition="0"/>
    </format>
    <format dxfId="154">
      <pivotArea dataOnly="0" labelOnly="1" fieldPosition="0">
        <references count="1">
          <reference field="3" count="0"/>
        </references>
      </pivotArea>
    </format>
  </formats>
  <conditionalFormats count="2">
    <conditionalFormat priority="2">
      <pivotAreas count="1">
        <pivotArea type="data" collapsedLevelsAreSubtotals="1" fieldPosition="0">
          <references count="3">
            <reference field="4294967294" count="1" selected="0">
              <x v="0"/>
            </reference>
            <reference field="1" count="1">
              <x v="2"/>
            </reference>
            <reference field="3" count="1" selected="0">
              <x v="1"/>
            </reference>
          </references>
        </pivotArea>
      </pivotAreas>
    </conditionalFormat>
    <conditionalFormat priority="1">
      <pivotAreas count="1">
        <pivotArea fieldPosition="0">
          <references count="1">
            <reference field="1" count="0"/>
          </references>
        </pivotArea>
      </pivotAreas>
    </conditionalFormat>
  </conditionalFormats>
  <chartFormats count="7">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3">
          <reference field="4294967294" count="1" selected="0">
            <x v="0"/>
          </reference>
          <reference field="1"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72AAF9-930F-4F1A-A060-50658CB221F0}" name="PivotTable27"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16:E20" firstHeaderRow="0" firstDataRow="1" firstDataCol="1"/>
  <pivotFields count="16">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dataField="1" numFmtId="164" showAll="0"/>
    <pivotField dataField="1" showAll="0"/>
    <pivotField showAll="0"/>
    <pivotField dataField="1" numFmtId="164" showAll="0"/>
    <pivotField dragToRow="0" dragToCol="0" dragToPage="0" showAll="0" defaultSubtotal="0"/>
    <pivotField dataField="1" dragToRow="0" dragToCol="0" dragToPage="0" showAll="0" defaultSubtotal="0"/>
  </pivotFields>
  <rowFields count="1">
    <field x="8"/>
  </rowFields>
  <rowItems count="4">
    <i>
      <x/>
    </i>
    <i>
      <x v="1"/>
    </i>
    <i>
      <x v="2"/>
    </i>
    <i>
      <x v="3"/>
    </i>
  </rowItems>
  <colFields count="1">
    <field x="-2"/>
  </colFields>
  <colItems count="4">
    <i>
      <x/>
    </i>
    <i i="1">
      <x v="1"/>
    </i>
    <i i="2">
      <x v="2"/>
    </i>
    <i i="3">
      <x v="3"/>
    </i>
  </colItems>
  <dataFields count="4">
    <dataField name="Average of engagement rate" fld="13" subtotal="average" baseField="8" baseItem="0"/>
    <dataField name=" Avg. Before" fld="10" subtotal="average" baseField="8" baseItem="0"/>
    <dataField name=" Avg. During" fld="11" subtotal="average" baseField="8" baseItem="0"/>
    <dataField name=" Uplift %" fld="15" showDataAs="percentOfCol" baseField="8" baseItem="0" numFmtId="10"/>
  </dataFields>
  <formats count="4">
    <format dxfId="57">
      <pivotArea collapsedLevelsAreSubtotals="1" fieldPosition="0">
        <references count="2">
          <reference field="4294967294" count="3" selected="0">
            <x v="0"/>
            <x v="1"/>
            <x v="2"/>
          </reference>
          <reference field="8" count="0"/>
        </references>
      </pivotArea>
    </format>
    <format dxfId="56">
      <pivotArea outline="0" collapsedLevelsAreSubtotals="1" fieldPosition="0"/>
    </format>
    <format dxfId="55">
      <pivotArea dataOnly="0" labelOnly="1" fieldPosition="0">
        <references count="1">
          <reference field="8" count="0"/>
        </references>
      </pivotArea>
    </format>
    <format dxfId="5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6F693E-DEAB-4EA6-9D46-B9606F88DA6F}" name="PivotTable2" cacheId="0"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rowHeaderCaption="Platfrom" fieldListSortAscending="1">
  <location ref="I5:J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i>
    <i>
      <x v="2"/>
    </i>
    <i>
      <x v="1"/>
    </i>
  </rowItems>
  <colItems count="1">
    <i/>
  </colItems>
  <dataFields count="1">
    <dataField name="Sum of ROI" fld="1" baseField="0" baseItem="0"/>
  </dataFields>
  <formats count="5">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OI"/>
    <pivotHierarchy dragToData="1" caption="Average of ROI"/>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Engagement_Summary">
        <x15:activeTabTopLevelEntity name="[Engagement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5E5F49-8B29-4BB2-8465-8A714383ABA8}" name="PivotTable11" cacheId="4"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rowHeaderCaption="Compaign Name">
  <location ref="A5:G9" firstHeaderRow="0" firstDataRow="1" firstDataCol="1"/>
  <pivotFields count="7">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6">
    <i>
      <x/>
    </i>
    <i i="1">
      <x v="1"/>
    </i>
    <i i="2">
      <x v="2"/>
    </i>
    <i i="3">
      <x v="3"/>
    </i>
    <i i="4">
      <x v="4"/>
    </i>
    <i i="5">
      <x v="5"/>
    </i>
  </colItems>
  <dataFields count="6">
    <dataField name="Total Impressions" fld="1" baseField="0" baseItem="0" numFmtId="3"/>
    <dataField name="Average Impressions" fld="6" subtotal="average" baseField="0" baseItem="0" numFmtId="167"/>
    <dataField name="Total Likes" fld="2" baseField="0" baseItem="0" numFmtId="3"/>
    <dataField name="Average Likes" fld="3" subtotal="average" baseField="0" baseItem="0" numFmtId="167"/>
    <dataField name="Total Clicks" fld="4" baseField="0" baseItem="0" numFmtId="3"/>
    <dataField name="Average Clicks" fld="5" subtotal="average" baseField="0" baseItem="0" numFmtId="167"/>
  </dataFields>
  <formats count="15">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outline="0" collapsedLevelsAreSubtotals="1" fieldPosition="0"/>
    </format>
    <format dxfId="68">
      <pivotArea outline="0" collapsedLevelsAreSubtotals="1" fieldPosition="0">
        <references count="1">
          <reference field="4294967294" count="1" selected="0">
            <x v="0"/>
          </reference>
        </references>
      </pivotArea>
    </format>
    <format dxfId="67">
      <pivotArea outline="0" collapsedLevelsAreSubtotals="1" fieldPosition="0">
        <references count="1">
          <reference field="4294967294" count="1" selected="0">
            <x v="2"/>
          </reference>
        </references>
      </pivotArea>
    </format>
    <format dxfId="66">
      <pivotArea outline="0" collapsedLevelsAreSubtotals="1" fieldPosition="0">
        <references count="1">
          <reference field="4294967294" count="1" selected="0">
            <x v="4"/>
          </reference>
        </references>
      </pivotArea>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3"/>
          </reference>
        </references>
      </pivotArea>
    </format>
    <format dxfId="63">
      <pivotArea outline="0" collapsedLevelsAreSubtotals="1" fieldPosition="0">
        <references count="1">
          <reference field="4294967294" count="1" selected="0">
            <x v="5"/>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Before"/>
    <pivotHierarchy dragToData="1" caption="Total Impressions"/>
    <pivotHierarchy dragToData="1" caption="Average Impressions"/>
    <pivotHierarchy dragToData="1" caption="Total Likes"/>
    <pivotHierarchy dragToData="1" caption="Average Likes"/>
    <pivotHierarchy dragToData="1" caption="Total Clicks"/>
    <pivotHierarchy dragToData="1" caption="Average Click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Post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70A523-3609-4DD5-A406-B83DCEB0710D}"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Month">
  <location ref="E4:G18" firstHeaderRow="0" firstDataRow="1" firstDataCol="1"/>
  <pivotFields count="11">
    <pivotField axis="axisRow" numFmtId="14" showAll="0">
      <items count="15">
        <item x="0"/>
        <item x="1"/>
        <item x="2"/>
        <item x="3"/>
        <item x="4"/>
        <item x="5"/>
        <item x="6"/>
        <item x="7"/>
        <item x="8"/>
        <item x="9"/>
        <item x="10"/>
        <item x="11"/>
        <item x="12"/>
        <item x="13"/>
        <item t="default"/>
      </items>
    </pivotField>
    <pivotField axis="axisRow" multipleItemSelectionAllowed="1" showAll="0">
      <items count="4">
        <item x="0"/>
        <item h="1" x="1"/>
        <item h="1" x="2"/>
        <item t="default"/>
      </items>
    </pivotField>
    <pivotField showAll="0"/>
    <pivotField showAll="0"/>
    <pivotField showAll="0"/>
    <pivotField showAll="0"/>
    <pivotField dataField="1" showAll="0"/>
    <pivotField numFmtId="168" showAll="0"/>
    <pivotField dataField="1" showAll="0"/>
    <pivotField showAll="0"/>
    <pivotField dragToRow="0" dragToCol="0" dragToPage="0" showAll="0" defaultSubtotal="0"/>
  </pivotFields>
  <rowFields count="2">
    <field x="1"/>
    <field x="0"/>
  </rowFields>
  <rowItems count="14">
    <i>
      <x/>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 Net Follower Growth" fld="8" baseField="0" baseItem="0"/>
    <dataField name=" Ad_Spend" fld="6" baseField="0" baseItem="0"/>
  </dataFields>
  <formats count="22">
    <format dxfId="21">
      <pivotArea field="0" type="button" dataOnly="0" labelOnly="1" outline="0" axis="axisRow" fieldPosition="1"/>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fieldPosition="0">
        <references count="2">
          <reference field="0" count="12">
            <x v="1"/>
            <x v="2"/>
            <x v="3"/>
            <x v="4"/>
            <x v="5"/>
            <x v="6"/>
            <x v="7"/>
            <x v="8"/>
            <x v="9"/>
            <x v="10"/>
            <x v="11"/>
            <x v="12"/>
          </reference>
          <reference field="1" count="0" selected="0"/>
        </references>
      </pivotArea>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2">
          <reference field="0" count="12">
            <x v="1"/>
            <x v="2"/>
            <x v="3"/>
            <x v="4"/>
            <x v="5"/>
            <x v="6"/>
            <x v="7"/>
            <x v="8"/>
            <x v="9"/>
            <x v="10"/>
            <x v="11"/>
            <x v="12"/>
          </reference>
          <reference field="1" count="0" selected="0"/>
        </references>
      </pivotArea>
    </format>
    <format dxfId="0">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6FC600-8479-40CC-B5AA-65B93621F0A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B34"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numFmtId="168" showAll="0"/>
    <pivotField showAll="0"/>
    <pivotField showAll="0"/>
    <pivotField dragToRow="0" dragToCol="0" dragToPage="0" showAll="0" defaultSubtotal="0"/>
  </pivotFields>
  <rowFields count="1">
    <field x="0"/>
  </rowFields>
  <rowItems count="13">
    <i>
      <x v="1"/>
    </i>
    <i>
      <x v="2"/>
    </i>
    <i>
      <x v="3"/>
    </i>
    <i>
      <x v="4"/>
    </i>
    <i>
      <x v="5"/>
    </i>
    <i>
      <x v="6"/>
    </i>
    <i>
      <x v="7"/>
    </i>
    <i>
      <x v="8"/>
    </i>
    <i>
      <x v="9"/>
    </i>
    <i>
      <x v="10"/>
    </i>
    <i>
      <x v="11"/>
    </i>
    <i>
      <x v="12"/>
    </i>
    <i t="grand">
      <x/>
    </i>
  </rowItems>
  <colItems count="1">
    <i/>
  </colItems>
  <dataFields count="1">
    <dataField name="Average of Total_Followers" fld="4" subtotal="average" baseField="0" baseItem="1"/>
  </dataFields>
  <formats count="32">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grandRow="1" outline="0" fieldPosition="0"/>
    </format>
    <format dxfId="39">
      <pivotArea dataOnly="0" labelOnly="1" outline="0" axis="axisValues" fieldPosition="0"/>
    </format>
    <format dxfId="38">
      <pivotArea field="0" type="button" dataOnly="0" labelOnly="1" outline="0" axis="axisRow"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12">
            <x v="1"/>
            <x v="2"/>
            <x v="3"/>
            <x v="4"/>
            <x v="5"/>
            <x v="6"/>
            <x v="7"/>
            <x v="8"/>
            <x v="9"/>
            <x v="10"/>
            <x v="11"/>
            <x v="12"/>
          </reference>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12">
            <x v="1"/>
            <x v="2"/>
            <x v="3"/>
            <x v="4"/>
            <x v="5"/>
            <x v="6"/>
            <x v="7"/>
            <x v="8"/>
            <x v="9"/>
            <x v="10"/>
            <x v="11"/>
            <x v="12"/>
          </reference>
        </references>
      </pivotArea>
    </format>
    <format dxfId="26">
      <pivotArea dataOnly="0" labelOnly="1" grandRow="1" outline="0" fieldPosition="0"/>
    </format>
    <format dxfId="25">
      <pivotArea dataOnly="0" labelOnly="1" outline="0" axis="axisValues" fieldPosition="0"/>
    </format>
    <format dxfId="24">
      <pivotArea collapsedLevelsAreSubtotals="1" fieldPosition="0">
        <references count="1">
          <reference field="0" count="12">
            <x v="1"/>
            <x v="2"/>
            <x v="3"/>
            <x v="4"/>
            <x v="5"/>
            <x v="6"/>
            <x v="7"/>
            <x v="8"/>
            <x v="9"/>
            <x v="10"/>
            <x v="11"/>
            <x v="12"/>
          </reference>
        </references>
      </pivotArea>
    </format>
    <format dxfId="23">
      <pivotArea dataOnly="0" labelOnly="1" fieldPosition="0">
        <references count="1">
          <reference field="0" count="12">
            <x v="1"/>
            <x v="2"/>
            <x v="3"/>
            <x v="4"/>
            <x v="5"/>
            <x v="6"/>
            <x v="7"/>
            <x v="8"/>
            <x v="9"/>
            <x v="10"/>
            <x v="11"/>
            <x v="12"/>
          </reference>
        </references>
      </pivotArea>
    </format>
    <format dxfId="22">
      <pivotArea collapsedLevelsAreSubtotals="1" fieldPosition="0">
        <references count="1">
          <reference field="0" count="12">
            <x v="1"/>
            <x v="2"/>
            <x v="3"/>
            <x v="4"/>
            <x v="5"/>
            <x v="6"/>
            <x v="7"/>
            <x v="8"/>
            <x v="9"/>
            <x v="10"/>
            <x v="11"/>
            <x v="12"/>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FF20330-CEB3-4CE5-BC71-4FE1AF46057E}" autoFormatId="16" applyNumberFormats="0" applyBorderFormats="0" applyFontFormats="0" applyPatternFormats="0" applyAlignmentFormats="0" applyWidthHeightFormats="0">
  <queryTableRefresh nextId="28" unboundColumnsRight="5">
    <queryTableFields count="19">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Campaign_Name" tableColumnId="14"/>
      <queryTableField id="20" dataBound="0" tableColumnId="18"/>
      <queryTableField id="21" dataBound="0" tableColumnId="19"/>
      <queryTableField id="22" dataBound="0" tableColumnId="20"/>
      <queryTableField id="23" dataBound="0" tableColumnId="21"/>
      <queryTableField id="24" dataBound="0"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A10ED97-DC0A-4D72-AA54-C75D1F5CBF6F}" autoFormatId="16" applyNumberFormats="0" applyBorderFormats="0" applyFontFormats="0" applyPatternFormats="0" applyAlignmentFormats="0" applyWidthHeightFormats="0">
  <queryTableRefresh nextId="12" unboundColumnsRight="3">
    <queryTableFields count="10">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 id="9" dataBound="0" tableColumnId="9"/>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5F211DD-A745-4BEC-A80E-1124B8D889D9}" sourceName="Platform">
  <pivotTables>
    <pivotTable tabId="23" name="PivotTable7"/>
  </pivotTables>
  <data>
    <tabular pivotCacheId="112005028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7BC41A1-8CCD-4B35-BE92-6C561EF27AFC}" cache="Slicer_Platform" caption="Platfor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9A9A9-4846-44AA-BF05-E4F026488458}" name="Posts" displayName="Posts" ref="A1:S300" tableType="queryTable" totalsRowShown="0" headerRowDxfId="371">
  <tableColumns count="19">
    <tableColumn id="1" xr3:uid="{8E52C54E-0F5D-40BC-8323-2691E8B88805}" uniqueName="1" name="Post ID" queryTableFieldId="1" dataDxfId="370"/>
    <tableColumn id="2" xr3:uid="{92681662-B9F3-4E38-84E0-F2645BC2A74B}" uniqueName="2" name="Platform" queryTableFieldId="2" dataDxfId="369"/>
    <tableColumn id="3" xr3:uid="{C4683982-2A54-4427-8F56-0D8F7DF5EC68}" uniqueName="3" name="Date" queryTableFieldId="3" dataDxfId="368"/>
    <tableColumn id="4" xr3:uid="{0D6B115E-B35E-4FD7-AA9D-5C77712F894A}" uniqueName="4" name="Content Type" queryTableFieldId="4" dataDxfId="367"/>
    <tableColumn id="5" xr3:uid="{4DAA4265-EDBB-4279-8DA8-C0D889C7801F}" uniqueName="5" name="Post Text" queryTableFieldId="5" dataDxfId="366"/>
    <tableColumn id="6" xr3:uid="{5771F0C2-33C0-41F7-ABC8-FF5DFBAB8405}" uniqueName="6" name="Likes" queryTableFieldId="6" dataDxfId="365"/>
    <tableColumn id="7" xr3:uid="{AE3C83FC-AD94-4399-A2EC-D28FF214E730}" uniqueName="7" name="Shares" queryTableFieldId="7" dataDxfId="364"/>
    <tableColumn id="8" xr3:uid="{ABD4A787-E48B-49C7-BD43-0004DD8CBF91}" uniqueName="8" name="Comments" queryTableFieldId="8" dataDxfId="363"/>
    <tableColumn id="9" xr3:uid="{F41918B2-6359-4C0E-AD78-07DF421EE3E0}" uniqueName="9" name="Impressions" queryTableFieldId="9" dataDxfId="362"/>
    <tableColumn id="10" xr3:uid="{3F848C58-5636-47CD-982E-571ECE94C9F2}" uniqueName="10" name="Reach" queryTableFieldId="10" dataDxfId="361"/>
    <tableColumn id="11" xr3:uid="{5AA886FC-59F9-4D6D-9B7E-20F5B61F7544}" uniqueName="11" name="Clicks" queryTableFieldId="11" dataDxfId="360"/>
    <tableColumn id="12" xr3:uid="{77FB7513-5AE1-4449-B21E-28E8FF17EF25}" uniqueName="12" name="Hashtags Used.1" queryTableFieldId="12" dataDxfId="359"/>
    <tableColumn id="13" xr3:uid="{BC70DB01-33DB-4128-B24A-BC38E6D8DE42}" uniqueName="13" name="Hashtags Used.2" queryTableFieldId="13" dataDxfId="358"/>
    <tableColumn id="14" xr3:uid="{215F4B64-12B9-4B04-9731-22DFE41D579D}" uniqueName="14" name="Campaign_Name" queryTableFieldId="14" dataDxfId="357"/>
    <tableColumn id="18" xr3:uid="{8C940C37-4A11-4851-88E5-D791BA50C687}" uniqueName="18" name="period" queryTableFieldId="20" dataDxfId="356">
      <calculatedColumnFormula>IF(AND(C2&gt;='Task 1.2'!$B$2,C2&lt;='Task 1.2'!$C$2),"During","Before")</calculatedColumnFormula>
    </tableColumn>
    <tableColumn id="19" xr3:uid="{CC20521F-85BF-490A-BD11-70E345453551}" uniqueName="19" name="Avg. Before" queryTableFieldId="21" dataDxfId="355">
      <calculatedColumnFormula>AVERAGEIF(O2:O300,"Before",Posts[[#This Row],[engagement rate]])</calculatedColumnFormula>
    </tableColumn>
    <tableColumn id="20" xr3:uid="{995B8546-D18C-449C-B144-C3118EE3DFAF}" uniqueName="20" name="Avg. During" queryTableFieldId="22" dataDxfId="354">
      <calculatedColumnFormula>AVERAGEIF($O$2:$O$300, "During",S2:S300)</calculatedColumnFormula>
    </tableColumn>
    <tableColumn id="21" xr3:uid="{17F9190F-6B20-4D21-B5A7-4E24DB56B778}" uniqueName="21" name="calculate uplift %" queryTableFieldId="23" dataDxfId="353">
      <calculatedColumnFormula>Posts[[#This Row],[Avg. During]]-Posts[[#This Row],[Avg. Before]]/Posts[[#This Row],[Avg. Before]]</calculatedColumnFormula>
    </tableColumn>
    <tableColumn id="22" xr3:uid="{C4CDB2CC-7C5D-4EE0-806B-EC5FF65AB8C4}" uniqueName="22" name="engagement rate" queryTableFieldId="24" dataDxfId="35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732777-AEE9-4765-93C4-6A8A3A159EAE}" name="Engagement_Summary" displayName="Engagement_Summary" ref="A1:J201" tableType="queryTable" totalsRowShown="0" headerRowDxfId="351" dataDxfId="350">
  <tableColumns count="10">
    <tableColumn id="1" xr3:uid="{A108A1A2-BACD-4907-A850-EC60789F8543}" uniqueName="1" name="Week_Start_Date" queryTableFieldId="1" dataDxfId="349"/>
    <tableColumn id="2" xr3:uid="{A076CA78-88F8-47DB-A627-78E7E7E22730}" uniqueName="2" name="Platform" queryTableFieldId="2" dataDxfId="348"/>
    <tableColumn id="3" xr3:uid="{8AE78ADB-CE5D-444C-9375-48EDF38A7774}" uniqueName="3" name="New_Followers" queryTableFieldId="3" dataDxfId="347"/>
    <tableColumn id="4" xr3:uid="{81CCD959-5C46-4C3B-A212-EF408FC87D4E}" uniqueName="4" name="Unfollows" queryTableFieldId="4" dataDxfId="346"/>
    <tableColumn id="5" xr3:uid="{37ED8E04-E0D7-4A53-9FD4-079272C406F4}" uniqueName="5" name="Total_Followers" queryTableFieldId="5" dataDxfId="345"/>
    <tableColumn id="6" xr3:uid="{0E3D3F1C-27A4-455C-9B2B-65085DF245A7}" uniqueName="6" name="Engagement_Rate" queryTableFieldId="6" dataDxfId="344"/>
    <tableColumn id="7" xr3:uid="{C68FD040-67D7-48E9-86BA-223C16475E71}" uniqueName="7" name="Ad_Spend" queryTableFieldId="7" dataDxfId="343"/>
    <tableColumn id="8" xr3:uid="{9CDDFAB0-36AC-4A05-B0D1-E136B02F68C7}" uniqueName="8" name="ROI" queryTableFieldId="8" dataDxfId="342">
      <calculatedColumnFormula>Engagement_Summary[[#This Row],[Engagement_Rate]]/Engagement_Summary[[#This Row],[Ad_Spend]]*100</calculatedColumnFormula>
    </tableColumn>
    <tableColumn id="9" xr3:uid="{88749705-EB87-4B6D-B992-FC2E85AE2D96}" uniqueName="9" name="Net Follower Growth" queryTableFieldId="9" dataDxfId="341">
      <calculatedColumnFormula>Engagement_Summary[[#This Row],[New_Followers]]-Engagement_Summary[[#This Row],[Unfollows]]</calculatedColumnFormula>
    </tableColumn>
    <tableColumn id="11" xr3:uid="{20D9EA1B-F0B6-43F1-9FBE-009A0BF9D92A}" uniqueName="11" name="Campaign" queryTableFieldId="11" dataDxfId="340">
      <calculatedColumnFormula>INDEX(Engagement_Summary[Week_Start_Date],MATCH(MAX(I2:I201),I2:I201,0))&amp; "-" &amp; INDEX(B2:B201,MATCH(MAX(I2:I201),I2:I201,0))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E10A-B64F-463A-BE4D-1C47799B8098}">
  <dimension ref="A1:M301"/>
  <sheetViews>
    <sheetView workbookViewId="0">
      <selection activeCell="A2" sqref="A2"/>
    </sheetView>
  </sheetViews>
  <sheetFormatPr defaultRowHeight="14.4"/>
  <cols>
    <col min="1" max="1" width="6.88671875" bestFit="1" customWidth="1"/>
    <col min="2" max="2" width="9.109375" bestFit="1" customWidth="1"/>
    <col min="3" max="3" width="10.33203125" bestFit="1" customWidth="1"/>
    <col min="4" max="4" width="12.33203125" bestFit="1" customWidth="1"/>
    <col min="5" max="5" width="38"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32" bestFit="1" customWidth="1"/>
    <col min="13" max="13" width="15.5546875" bestFit="1" customWidth="1"/>
  </cols>
  <sheetData>
    <row r="1" spans="1:13">
      <c r="A1" s="16" t="s">
        <v>0</v>
      </c>
      <c r="B1" s="16" t="s">
        <v>1</v>
      </c>
      <c r="C1" s="16" t="s">
        <v>2</v>
      </c>
      <c r="D1" s="16" t="s">
        <v>3</v>
      </c>
      <c r="E1" s="16" t="s">
        <v>4</v>
      </c>
      <c r="F1" s="16" t="s">
        <v>5</v>
      </c>
      <c r="G1" s="16" t="s">
        <v>6</v>
      </c>
      <c r="H1" s="16" t="s">
        <v>7</v>
      </c>
      <c r="I1" s="16" t="s">
        <v>8</v>
      </c>
      <c r="J1" s="16" t="s">
        <v>9</v>
      </c>
      <c r="K1" s="16" t="s">
        <v>10</v>
      </c>
      <c r="L1" s="16" t="s">
        <v>383</v>
      </c>
      <c r="M1" s="16" t="s">
        <v>13</v>
      </c>
    </row>
    <row r="2" spans="1:13">
      <c r="A2" s="17" t="s">
        <v>14</v>
      </c>
      <c r="B2" s="17" t="s">
        <v>15</v>
      </c>
      <c r="C2" s="18">
        <v>45781</v>
      </c>
      <c r="D2" s="17" t="s">
        <v>16</v>
      </c>
      <c r="E2" s="17" t="s">
        <v>17</v>
      </c>
      <c r="F2" s="17">
        <v>2414</v>
      </c>
      <c r="G2" s="17">
        <v>245</v>
      </c>
      <c r="H2" s="17">
        <v>137</v>
      </c>
      <c r="I2" s="17">
        <v>21181</v>
      </c>
      <c r="J2" s="17">
        <v>45292</v>
      </c>
      <c r="K2" s="17">
        <v>133</v>
      </c>
      <c r="L2" s="17" t="s">
        <v>368</v>
      </c>
      <c r="M2" s="17" t="s">
        <v>20</v>
      </c>
    </row>
    <row r="3" spans="1:13">
      <c r="A3" s="17" t="s">
        <v>21</v>
      </c>
      <c r="B3" s="17" t="s">
        <v>15</v>
      </c>
      <c r="C3" s="18">
        <v>45689</v>
      </c>
      <c r="D3" s="17" t="s">
        <v>16</v>
      </c>
      <c r="E3" s="17" t="s">
        <v>22</v>
      </c>
      <c r="F3" s="17">
        <v>1934</v>
      </c>
      <c r="G3" s="17">
        <v>210</v>
      </c>
      <c r="H3" s="17">
        <v>393</v>
      </c>
      <c r="I3" s="17">
        <v>29129</v>
      </c>
      <c r="J3" s="17">
        <v>73287</v>
      </c>
      <c r="K3" s="17">
        <v>273</v>
      </c>
      <c r="L3" s="17" t="s">
        <v>23</v>
      </c>
      <c r="M3" s="17" t="s">
        <v>25</v>
      </c>
    </row>
    <row r="4" spans="1:13">
      <c r="A4" s="17" t="s">
        <v>26</v>
      </c>
      <c r="B4" s="17" t="s">
        <v>27</v>
      </c>
      <c r="C4" s="19">
        <v>45629</v>
      </c>
      <c r="D4" s="17" t="s">
        <v>28</v>
      </c>
      <c r="E4" s="17" t="s">
        <v>29</v>
      </c>
      <c r="F4" s="17">
        <v>3092</v>
      </c>
      <c r="G4" s="17">
        <v>177</v>
      </c>
      <c r="H4" s="17">
        <v>81</v>
      </c>
      <c r="I4" s="17">
        <v>47533</v>
      </c>
      <c r="J4" s="17">
        <v>29220</v>
      </c>
      <c r="K4" s="17">
        <v>121</v>
      </c>
      <c r="L4" s="17" t="s">
        <v>369</v>
      </c>
      <c r="M4" s="17" t="s">
        <v>20</v>
      </c>
    </row>
    <row r="5" spans="1:13">
      <c r="A5" s="17" t="s">
        <v>31</v>
      </c>
      <c r="B5" s="17" t="s">
        <v>15</v>
      </c>
      <c r="C5" s="19">
        <v>45629</v>
      </c>
      <c r="D5" s="17" t="s">
        <v>16</v>
      </c>
      <c r="E5" s="17" t="s">
        <v>32</v>
      </c>
      <c r="F5" s="17">
        <v>3173</v>
      </c>
      <c r="G5" s="17">
        <v>229</v>
      </c>
      <c r="H5" s="17">
        <v>197</v>
      </c>
      <c r="I5" s="17">
        <v>29604</v>
      </c>
      <c r="J5" s="17">
        <v>21809</v>
      </c>
      <c r="K5" s="17">
        <v>272</v>
      </c>
      <c r="L5" s="17" t="s">
        <v>368</v>
      </c>
      <c r="M5" s="17" t="s">
        <v>20</v>
      </c>
    </row>
    <row r="6" spans="1:13">
      <c r="A6" s="17" t="s">
        <v>33</v>
      </c>
      <c r="B6" s="17" t="s">
        <v>34</v>
      </c>
      <c r="C6" s="18">
        <v>45388</v>
      </c>
      <c r="D6" s="17" t="s">
        <v>16</v>
      </c>
      <c r="E6" s="17" t="s">
        <v>35</v>
      </c>
      <c r="F6" s="17">
        <v>2748</v>
      </c>
      <c r="G6" s="17">
        <v>145</v>
      </c>
      <c r="H6" s="17">
        <v>315</v>
      </c>
      <c r="I6" s="17">
        <v>24401</v>
      </c>
      <c r="J6" s="17">
        <v>61182</v>
      </c>
      <c r="K6" s="17">
        <v>200</v>
      </c>
      <c r="L6" s="17" t="s">
        <v>370</v>
      </c>
      <c r="M6" s="17" t="s">
        <v>25</v>
      </c>
    </row>
    <row r="7" spans="1:13">
      <c r="A7" s="17" t="s">
        <v>37</v>
      </c>
      <c r="B7" s="17" t="s">
        <v>34</v>
      </c>
      <c r="C7" s="19">
        <v>45456</v>
      </c>
      <c r="D7" s="17" t="s">
        <v>16</v>
      </c>
      <c r="E7" s="17" t="s">
        <v>38</v>
      </c>
      <c r="F7" s="17">
        <v>3882</v>
      </c>
      <c r="G7" s="17">
        <v>239</v>
      </c>
      <c r="H7" s="17">
        <v>275</v>
      </c>
      <c r="I7" s="17">
        <v>58748</v>
      </c>
      <c r="J7" s="17">
        <v>44646</v>
      </c>
      <c r="K7" s="17">
        <v>149</v>
      </c>
      <c r="L7" s="17" t="s">
        <v>370</v>
      </c>
      <c r="M7" s="17" t="s">
        <v>25</v>
      </c>
    </row>
    <row r="8" spans="1:13">
      <c r="A8" s="17" t="s">
        <v>39</v>
      </c>
      <c r="B8" s="17" t="s">
        <v>27</v>
      </c>
      <c r="C8" s="19">
        <v>45645</v>
      </c>
      <c r="D8" s="17" t="s">
        <v>28</v>
      </c>
      <c r="E8" s="17" t="s">
        <v>40</v>
      </c>
      <c r="F8" s="17">
        <v>4674</v>
      </c>
      <c r="G8" s="17">
        <v>409</v>
      </c>
      <c r="H8" s="17">
        <v>327</v>
      </c>
      <c r="I8" s="17">
        <v>20756</v>
      </c>
      <c r="J8" s="17">
        <v>63599</v>
      </c>
      <c r="K8" s="17">
        <v>212</v>
      </c>
      <c r="L8" s="17" t="s">
        <v>368</v>
      </c>
      <c r="M8" s="17" t="s">
        <v>20</v>
      </c>
    </row>
    <row r="9" spans="1:13">
      <c r="A9" s="17" t="s">
        <v>41</v>
      </c>
      <c r="B9" s="17" t="s">
        <v>27</v>
      </c>
      <c r="C9" s="18">
        <v>45421</v>
      </c>
      <c r="D9" s="17" t="s">
        <v>28</v>
      </c>
      <c r="E9" s="17" t="s">
        <v>32</v>
      </c>
      <c r="F9" s="17">
        <v>1428</v>
      </c>
      <c r="G9" s="17">
        <v>347</v>
      </c>
      <c r="H9" s="17">
        <v>67</v>
      </c>
      <c r="I9" s="17">
        <v>21148</v>
      </c>
      <c r="J9" s="17">
        <v>19712</v>
      </c>
      <c r="K9" s="17">
        <v>120</v>
      </c>
      <c r="L9" s="17" t="s">
        <v>371</v>
      </c>
      <c r="M9" s="17" t="s">
        <v>20</v>
      </c>
    </row>
    <row r="10" spans="1:13">
      <c r="A10" s="17" t="s">
        <v>42</v>
      </c>
      <c r="B10" s="17" t="s">
        <v>27</v>
      </c>
      <c r="C10" s="19">
        <v>45823</v>
      </c>
      <c r="D10" s="17" t="s">
        <v>16</v>
      </c>
      <c r="E10" s="17" t="s">
        <v>43</v>
      </c>
      <c r="F10" s="17">
        <v>4432</v>
      </c>
      <c r="G10" s="17">
        <v>223</v>
      </c>
      <c r="H10" s="17">
        <v>299</v>
      </c>
      <c r="I10" s="17">
        <v>59016</v>
      </c>
      <c r="J10" s="17">
        <v>21742</v>
      </c>
      <c r="K10" s="17">
        <v>171</v>
      </c>
      <c r="L10" s="17" t="s">
        <v>19</v>
      </c>
      <c r="M10" s="17" t="s">
        <v>20</v>
      </c>
    </row>
    <row r="11" spans="1:13">
      <c r="A11" s="17" t="s">
        <v>44</v>
      </c>
      <c r="B11" s="17" t="s">
        <v>27</v>
      </c>
      <c r="C11" s="19">
        <v>45630</v>
      </c>
      <c r="D11" s="17" t="s">
        <v>16</v>
      </c>
      <c r="E11" s="17" t="s">
        <v>32</v>
      </c>
      <c r="F11" s="17">
        <v>2357</v>
      </c>
      <c r="G11" s="17">
        <v>274</v>
      </c>
      <c r="H11" s="17">
        <v>172</v>
      </c>
      <c r="I11" s="17">
        <v>21566</v>
      </c>
      <c r="J11" s="17">
        <v>66829</v>
      </c>
      <c r="K11" s="17">
        <v>284</v>
      </c>
      <c r="L11" s="17" t="s">
        <v>19</v>
      </c>
      <c r="M11" s="17" t="s">
        <v>20</v>
      </c>
    </row>
    <row r="12" spans="1:13">
      <c r="A12" s="17" t="s">
        <v>45</v>
      </c>
      <c r="B12" s="17" t="s">
        <v>27</v>
      </c>
      <c r="C12" s="19">
        <v>45357</v>
      </c>
      <c r="D12" s="17" t="s">
        <v>16</v>
      </c>
      <c r="E12" s="17" t="s">
        <v>17</v>
      </c>
      <c r="F12" s="17">
        <v>1971</v>
      </c>
      <c r="G12" s="17">
        <v>370</v>
      </c>
      <c r="H12" s="17">
        <v>306</v>
      </c>
      <c r="I12" s="17">
        <v>31316</v>
      </c>
      <c r="J12" s="17">
        <v>27897</v>
      </c>
      <c r="K12" s="17">
        <v>88</v>
      </c>
      <c r="L12" s="17" t="s">
        <v>18</v>
      </c>
      <c r="M12" s="17" t="s">
        <v>25</v>
      </c>
    </row>
    <row r="13" spans="1:13">
      <c r="A13" s="17" t="s">
        <v>46</v>
      </c>
      <c r="B13" s="17" t="s">
        <v>15</v>
      </c>
      <c r="C13" s="19">
        <v>45426</v>
      </c>
      <c r="D13" s="17" t="s">
        <v>16</v>
      </c>
      <c r="E13" s="17" t="s">
        <v>17</v>
      </c>
      <c r="F13" s="17">
        <v>1485</v>
      </c>
      <c r="G13" s="17">
        <v>353</v>
      </c>
      <c r="H13" s="17">
        <v>244</v>
      </c>
      <c r="I13" s="17">
        <v>38419</v>
      </c>
      <c r="J13" s="17">
        <v>38556</v>
      </c>
      <c r="K13" s="17">
        <v>86</v>
      </c>
      <c r="L13" s="17" t="s">
        <v>368</v>
      </c>
      <c r="M13" s="17" t="s">
        <v>20</v>
      </c>
    </row>
    <row r="14" spans="1:13">
      <c r="A14" s="17" t="s">
        <v>47</v>
      </c>
      <c r="B14" s="17" t="s">
        <v>27</v>
      </c>
      <c r="C14" s="19">
        <v>45826</v>
      </c>
      <c r="D14" s="17" t="s">
        <v>28</v>
      </c>
      <c r="E14" s="17" t="s">
        <v>17</v>
      </c>
      <c r="F14" s="17">
        <v>3956</v>
      </c>
      <c r="G14" s="17">
        <v>319</v>
      </c>
      <c r="H14" s="17">
        <v>61</v>
      </c>
      <c r="I14" s="17">
        <v>58162</v>
      </c>
      <c r="J14" s="17">
        <v>28720</v>
      </c>
      <c r="K14" s="17">
        <v>213</v>
      </c>
      <c r="L14" s="17" t="s">
        <v>369</v>
      </c>
      <c r="M14" s="17" t="s">
        <v>20</v>
      </c>
    </row>
    <row r="15" spans="1:13">
      <c r="A15" s="17" t="s">
        <v>48</v>
      </c>
      <c r="B15" s="17" t="s">
        <v>27</v>
      </c>
      <c r="C15" s="19">
        <v>45573</v>
      </c>
      <c r="D15" s="17" t="s">
        <v>16</v>
      </c>
      <c r="E15" s="17" t="s">
        <v>49</v>
      </c>
      <c r="F15" s="17">
        <v>2460</v>
      </c>
      <c r="G15" s="17">
        <v>409</v>
      </c>
      <c r="H15" s="17">
        <v>253</v>
      </c>
      <c r="I15" s="17">
        <v>36702</v>
      </c>
      <c r="J15" s="17">
        <v>46122</v>
      </c>
      <c r="K15" s="17">
        <v>264</v>
      </c>
      <c r="L15" s="17" t="s">
        <v>19</v>
      </c>
      <c r="M15" s="17" t="s">
        <v>20</v>
      </c>
    </row>
    <row r="16" spans="1:13">
      <c r="A16" s="17" t="s">
        <v>50</v>
      </c>
      <c r="B16" s="17" t="s">
        <v>27</v>
      </c>
      <c r="C16" s="19">
        <v>45418</v>
      </c>
      <c r="D16" s="17" t="s">
        <v>16</v>
      </c>
      <c r="E16" s="17" t="s">
        <v>51</v>
      </c>
      <c r="F16" s="17">
        <v>3476</v>
      </c>
      <c r="G16" s="17">
        <v>355</v>
      </c>
      <c r="H16" s="17">
        <v>396</v>
      </c>
      <c r="I16" s="17">
        <v>37492</v>
      </c>
      <c r="J16" s="17">
        <v>27285</v>
      </c>
      <c r="K16" s="17">
        <v>179</v>
      </c>
      <c r="L16" s="17" t="s">
        <v>19</v>
      </c>
      <c r="M16" s="17" t="s">
        <v>20</v>
      </c>
    </row>
    <row r="17" spans="1:13">
      <c r="A17" s="17" t="s">
        <v>52</v>
      </c>
      <c r="B17" s="17" t="s">
        <v>27</v>
      </c>
      <c r="C17" s="19">
        <v>45655</v>
      </c>
      <c r="D17" s="17" t="s">
        <v>28</v>
      </c>
      <c r="E17" s="17" t="s">
        <v>29</v>
      </c>
      <c r="F17" s="17">
        <v>4049</v>
      </c>
      <c r="G17" s="17">
        <v>377</v>
      </c>
      <c r="H17" s="17">
        <v>94</v>
      </c>
      <c r="I17" s="17">
        <v>48182</v>
      </c>
      <c r="J17" s="17">
        <v>42875</v>
      </c>
      <c r="K17" s="17">
        <v>172</v>
      </c>
      <c r="L17" s="17" t="s">
        <v>369</v>
      </c>
      <c r="M17" s="17" t="s">
        <v>20</v>
      </c>
    </row>
    <row r="18" spans="1:13">
      <c r="A18" s="17" t="s">
        <v>53</v>
      </c>
      <c r="B18" s="17" t="s">
        <v>27</v>
      </c>
      <c r="C18" s="19">
        <v>45453</v>
      </c>
      <c r="D18" s="17" t="s">
        <v>16</v>
      </c>
      <c r="E18" s="17" t="s">
        <v>38</v>
      </c>
      <c r="F18" s="17">
        <v>1514</v>
      </c>
      <c r="G18" s="17">
        <v>164</v>
      </c>
      <c r="H18" s="17">
        <v>275</v>
      </c>
      <c r="I18" s="17">
        <v>41364</v>
      </c>
      <c r="J18" s="17">
        <v>44389</v>
      </c>
      <c r="K18" s="17">
        <v>83</v>
      </c>
      <c r="L18" s="17" t="s">
        <v>19</v>
      </c>
      <c r="M18" s="17" t="s">
        <v>20</v>
      </c>
    </row>
    <row r="19" spans="1:13">
      <c r="A19" s="17" t="s">
        <v>54</v>
      </c>
      <c r="B19" s="17" t="s">
        <v>15</v>
      </c>
      <c r="C19" s="19">
        <v>45325</v>
      </c>
      <c r="D19" s="17" t="s">
        <v>28</v>
      </c>
      <c r="E19" s="17" t="s">
        <v>35</v>
      </c>
      <c r="F19" s="17">
        <v>4281</v>
      </c>
      <c r="G19" s="17">
        <v>101</v>
      </c>
      <c r="H19" s="17">
        <v>163</v>
      </c>
      <c r="I19" s="17">
        <v>32278</v>
      </c>
      <c r="J19" s="17">
        <v>53382</v>
      </c>
      <c r="K19" s="17">
        <v>235</v>
      </c>
      <c r="L19" s="17" t="s">
        <v>19</v>
      </c>
      <c r="M19" s="17" t="s">
        <v>55</v>
      </c>
    </row>
    <row r="20" spans="1:13">
      <c r="A20" s="17" t="s">
        <v>56</v>
      </c>
      <c r="B20" s="17" t="s">
        <v>34</v>
      </c>
      <c r="C20" s="19">
        <v>45458</v>
      </c>
      <c r="D20" s="17" t="s">
        <v>57</v>
      </c>
      <c r="E20" s="17" t="s">
        <v>40</v>
      </c>
      <c r="F20" s="17">
        <v>1751</v>
      </c>
      <c r="G20" s="17">
        <v>143</v>
      </c>
      <c r="H20" s="17">
        <v>151</v>
      </c>
      <c r="I20" s="17">
        <v>31826</v>
      </c>
      <c r="J20" s="17">
        <v>47729</v>
      </c>
      <c r="K20" s="17">
        <v>95</v>
      </c>
      <c r="L20" s="17" t="s">
        <v>372</v>
      </c>
      <c r="M20" s="17" t="s">
        <v>58</v>
      </c>
    </row>
    <row r="21" spans="1:13">
      <c r="A21" s="17" t="s">
        <v>59</v>
      </c>
      <c r="B21" s="17" t="s">
        <v>15</v>
      </c>
      <c r="C21" s="19">
        <v>45478</v>
      </c>
      <c r="D21" s="17" t="s">
        <v>16</v>
      </c>
      <c r="E21" s="17" t="s">
        <v>51</v>
      </c>
      <c r="F21" s="17">
        <v>3753</v>
      </c>
      <c r="G21" s="17">
        <v>411</v>
      </c>
      <c r="H21" s="17">
        <v>308</v>
      </c>
      <c r="I21" s="17">
        <v>29138</v>
      </c>
      <c r="J21" s="17">
        <v>27678</v>
      </c>
      <c r="K21" s="17">
        <v>90</v>
      </c>
      <c r="L21" s="17" t="s">
        <v>23</v>
      </c>
      <c r="M21" s="17" t="s">
        <v>25</v>
      </c>
    </row>
    <row r="22" spans="1:13">
      <c r="A22" s="17" t="s">
        <v>60</v>
      </c>
      <c r="B22" s="17" t="s">
        <v>15</v>
      </c>
      <c r="C22" s="19">
        <v>45603</v>
      </c>
      <c r="D22" s="17" t="s">
        <v>28</v>
      </c>
      <c r="E22" s="17" t="s">
        <v>32</v>
      </c>
      <c r="F22" s="17">
        <v>1678</v>
      </c>
      <c r="G22" s="17">
        <v>423</v>
      </c>
      <c r="H22" s="17">
        <v>323</v>
      </c>
      <c r="I22" s="17">
        <v>55668</v>
      </c>
      <c r="J22" s="17">
        <v>37945</v>
      </c>
      <c r="K22" s="17">
        <v>230</v>
      </c>
      <c r="L22" s="17" t="s">
        <v>19</v>
      </c>
      <c r="M22" s="17" t="s">
        <v>55</v>
      </c>
    </row>
    <row r="23" spans="1:13">
      <c r="A23" s="17" t="s">
        <v>61</v>
      </c>
      <c r="B23" s="17" t="s">
        <v>15</v>
      </c>
      <c r="C23" s="19">
        <v>45823</v>
      </c>
      <c r="D23" s="17" t="s">
        <v>16</v>
      </c>
      <c r="E23" s="17" t="s">
        <v>38</v>
      </c>
      <c r="F23" s="17">
        <v>4896</v>
      </c>
      <c r="G23" s="17">
        <v>466</v>
      </c>
      <c r="H23" s="17">
        <v>233</v>
      </c>
      <c r="I23" s="17">
        <v>28621</v>
      </c>
      <c r="J23" s="17">
        <v>34270</v>
      </c>
      <c r="K23" s="17">
        <v>84</v>
      </c>
      <c r="L23" s="17" t="s">
        <v>368</v>
      </c>
      <c r="M23" s="17" t="s">
        <v>20</v>
      </c>
    </row>
    <row r="24" spans="1:13">
      <c r="A24" s="17" t="s">
        <v>62</v>
      </c>
      <c r="B24" s="17" t="s">
        <v>34</v>
      </c>
      <c r="C24" s="19">
        <v>45452</v>
      </c>
      <c r="D24" s="17" t="s">
        <v>57</v>
      </c>
      <c r="E24" s="17" t="s">
        <v>49</v>
      </c>
      <c r="F24" s="17">
        <v>2786</v>
      </c>
      <c r="G24" s="17">
        <v>368</v>
      </c>
      <c r="H24" s="17">
        <v>208</v>
      </c>
      <c r="I24" s="17">
        <v>42000</v>
      </c>
      <c r="J24" s="17">
        <v>39967</v>
      </c>
      <c r="K24" s="17">
        <v>103</v>
      </c>
      <c r="L24" s="17" t="s">
        <v>372</v>
      </c>
      <c r="M24" s="17" t="s">
        <v>58</v>
      </c>
    </row>
    <row r="25" spans="1:13">
      <c r="A25" s="17" t="s">
        <v>63</v>
      </c>
      <c r="B25" s="17" t="s">
        <v>27</v>
      </c>
      <c r="C25" s="19">
        <v>45583</v>
      </c>
      <c r="D25" s="17" t="s">
        <v>16</v>
      </c>
      <c r="E25" s="17" t="s">
        <v>29</v>
      </c>
      <c r="F25" s="17">
        <v>2607</v>
      </c>
      <c r="G25" s="17">
        <v>379</v>
      </c>
      <c r="H25" s="17">
        <v>180</v>
      </c>
      <c r="I25" s="17">
        <v>28712</v>
      </c>
      <c r="J25" s="17">
        <v>61620</v>
      </c>
      <c r="K25" s="17">
        <v>174</v>
      </c>
      <c r="L25" s="17" t="s">
        <v>18</v>
      </c>
      <c r="M25" s="17" t="s">
        <v>25</v>
      </c>
    </row>
    <row r="26" spans="1:13">
      <c r="A26" s="17" t="s">
        <v>64</v>
      </c>
      <c r="B26" s="17" t="s">
        <v>34</v>
      </c>
      <c r="C26" s="19">
        <v>45575</v>
      </c>
      <c r="D26" s="17" t="s">
        <v>57</v>
      </c>
      <c r="E26" s="17" t="s">
        <v>49</v>
      </c>
      <c r="F26" s="17">
        <v>4013</v>
      </c>
      <c r="G26" s="17">
        <v>320</v>
      </c>
      <c r="H26" s="17">
        <v>92</v>
      </c>
      <c r="I26" s="17">
        <v>54605</v>
      </c>
      <c r="J26" s="17">
        <v>60169</v>
      </c>
      <c r="K26" s="17">
        <v>232</v>
      </c>
      <c r="L26" s="17" t="s">
        <v>372</v>
      </c>
      <c r="M26" s="17" t="s">
        <v>58</v>
      </c>
    </row>
    <row r="27" spans="1:13">
      <c r="A27" s="17" t="s">
        <v>65</v>
      </c>
      <c r="B27" s="17" t="s">
        <v>27</v>
      </c>
      <c r="C27" s="19">
        <v>45791</v>
      </c>
      <c r="D27" s="17" t="s">
        <v>28</v>
      </c>
      <c r="E27" s="17" t="s">
        <v>49</v>
      </c>
      <c r="F27" s="17">
        <v>2707</v>
      </c>
      <c r="G27" s="17">
        <v>103</v>
      </c>
      <c r="H27" s="17">
        <v>51</v>
      </c>
      <c r="I27" s="17">
        <v>55302</v>
      </c>
      <c r="J27" s="17">
        <v>18801</v>
      </c>
      <c r="K27" s="17">
        <v>147</v>
      </c>
      <c r="L27" s="17" t="s">
        <v>371</v>
      </c>
      <c r="M27" s="17" t="s">
        <v>20</v>
      </c>
    </row>
    <row r="28" spans="1:13">
      <c r="A28" s="17" t="s">
        <v>66</v>
      </c>
      <c r="B28" s="17" t="s">
        <v>15</v>
      </c>
      <c r="C28" s="19">
        <v>45625</v>
      </c>
      <c r="D28" s="17" t="s">
        <v>16</v>
      </c>
      <c r="E28" s="17" t="s">
        <v>38</v>
      </c>
      <c r="F28" s="17">
        <v>2824</v>
      </c>
      <c r="G28" s="17">
        <v>425</v>
      </c>
      <c r="H28" s="17">
        <v>274</v>
      </c>
      <c r="I28" s="17">
        <v>31004</v>
      </c>
      <c r="J28" s="17">
        <v>53488</v>
      </c>
      <c r="K28" s="17">
        <v>268</v>
      </c>
      <c r="L28" s="17" t="s">
        <v>368</v>
      </c>
      <c r="M28" s="17" t="s">
        <v>20</v>
      </c>
    </row>
    <row r="29" spans="1:13">
      <c r="A29" s="17" t="s">
        <v>67</v>
      </c>
      <c r="B29" s="17" t="s">
        <v>34</v>
      </c>
      <c r="C29" s="19">
        <v>45356</v>
      </c>
      <c r="D29" s="17" t="s">
        <v>57</v>
      </c>
      <c r="E29" s="17" t="s">
        <v>22</v>
      </c>
      <c r="F29" s="17">
        <v>3558</v>
      </c>
      <c r="G29" s="17">
        <v>314</v>
      </c>
      <c r="H29" s="17">
        <v>199</v>
      </c>
      <c r="I29" s="17">
        <v>49612</v>
      </c>
      <c r="J29" s="17">
        <v>53929</v>
      </c>
      <c r="K29" s="17">
        <v>206</v>
      </c>
      <c r="L29" s="17" t="s">
        <v>372</v>
      </c>
      <c r="M29" s="17" t="s">
        <v>58</v>
      </c>
    </row>
    <row r="30" spans="1:13">
      <c r="A30" s="17" t="s">
        <v>68</v>
      </c>
      <c r="B30" s="17" t="s">
        <v>27</v>
      </c>
      <c r="C30" s="19">
        <v>45734</v>
      </c>
      <c r="D30" s="17" t="s">
        <v>28</v>
      </c>
      <c r="E30" s="17" t="s">
        <v>22</v>
      </c>
      <c r="F30" s="17">
        <v>3418</v>
      </c>
      <c r="G30" s="17">
        <v>188</v>
      </c>
      <c r="H30" s="17">
        <v>387</v>
      </c>
      <c r="I30" s="17">
        <v>57431</v>
      </c>
      <c r="J30" s="17">
        <v>36933</v>
      </c>
      <c r="K30" s="17">
        <v>202</v>
      </c>
      <c r="L30" s="17" t="s">
        <v>369</v>
      </c>
      <c r="M30" s="17" t="s">
        <v>20</v>
      </c>
    </row>
    <row r="31" spans="1:13">
      <c r="A31" s="17" t="s">
        <v>69</v>
      </c>
      <c r="B31" s="17" t="s">
        <v>27</v>
      </c>
      <c r="C31" s="19">
        <v>45773</v>
      </c>
      <c r="D31" s="17" t="s">
        <v>16</v>
      </c>
      <c r="E31" s="17" t="s">
        <v>17</v>
      </c>
      <c r="F31" s="17">
        <v>2411</v>
      </c>
      <c r="G31" s="17">
        <v>194</v>
      </c>
      <c r="H31" s="17">
        <v>168</v>
      </c>
      <c r="I31" s="17">
        <v>26665</v>
      </c>
      <c r="J31" s="17">
        <v>71699</v>
      </c>
      <c r="K31" s="17">
        <v>197</v>
      </c>
      <c r="L31" s="17" t="s">
        <v>19</v>
      </c>
      <c r="M31" s="17" t="s">
        <v>20</v>
      </c>
    </row>
    <row r="32" spans="1:13">
      <c r="A32" s="17" t="s">
        <v>70</v>
      </c>
      <c r="B32" s="17" t="s">
        <v>15</v>
      </c>
      <c r="C32" s="19">
        <v>45658</v>
      </c>
      <c r="D32" s="17" t="s">
        <v>16</v>
      </c>
      <c r="E32" s="17" t="s">
        <v>29</v>
      </c>
      <c r="F32" s="17">
        <v>4036</v>
      </c>
      <c r="G32" s="17">
        <v>112</v>
      </c>
      <c r="H32" s="17">
        <v>382</v>
      </c>
      <c r="I32" s="17">
        <v>56284</v>
      </c>
      <c r="J32" s="17">
        <v>29440</v>
      </c>
      <c r="K32" s="17">
        <v>279</v>
      </c>
      <c r="L32" s="17" t="s">
        <v>368</v>
      </c>
      <c r="M32" s="17" t="s">
        <v>20</v>
      </c>
    </row>
    <row r="33" spans="1:13">
      <c r="A33" s="17" t="s">
        <v>71</v>
      </c>
      <c r="B33" s="17" t="s">
        <v>27</v>
      </c>
      <c r="C33" s="19">
        <v>45419</v>
      </c>
      <c r="D33" s="17" t="s">
        <v>28</v>
      </c>
      <c r="E33" s="17" t="s">
        <v>22</v>
      </c>
      <c r="F33" s="17">
        <v>2776</v>
      </c>
      <c r="G33" s="17">
        <v>307</v>
      </c>
      <c r="H33" s="17">
        <v>178</v>
      </c>
      <c r="I33" s="17">
        <v>43365</v>
      </c>
      <c r="J33" s="17">
        <v>48408</v>
      </c>
      <c r="K33" s="17">
        <v>138</v>
      </c>
      <c r="L33" s="17" t="s">
        <v>368</v>
      </c>
      <c r="M33" s="17" t="s">
        <v>20</v>
      </c>
    </row>
    <row r="34" spans="1:13">
      <c r="A34" s="17" t="s">
        <v>72</v>
      </c>
      <c r="B34" s="17" t="s">
        <v>27</v>
      </c>
      <c r="C34" s="19">
        <v>45574</v>
      </c>
      <c r="D34" s="17" t="s">
        <v>28</v>
      </c>
      <c r="E34" s="17" t="s">
        <v>17</v>
      </c>
      <c r="F34" s="17">
        <v>4929</v>
      </c>
      <c r="G34" s="17">
        <v>182</v>
      </c>
      <c r="H34" s="17">
        <v>95</v>
      </c>
      <c r="I34" s="17">
        <v>32181</v>
      </c>
      <c r="J34" s="17">
        <v>31084</v>
      </c>
      <c r="K34" s="17">
        <v>289</v>
      </c>
      <c r="L34" s="17" t="s">
        <v>371</v>
      </c>
      <c r="M34" s="17" t="s">
        <v>20</v>
      </c>
    </row>
    <row r="35" spans="1:13">
      <c r="A35" s="17" t="s">
        <v>73</v>
      </c>
      <c r="B35" s="17" t="s">
        <v>15</v>
      </c>
      <c r="C35" s="19">
        <v>45666</v>
      </c>
      <c r="D35" s="17" t="s">
        <v>16</v>
      </c>
      <c r="E35" s="17" t="s">
        <v>29</v>
      </c>
      <c r="F35" s="17">
        <v>1015</v>
      </c>
      <c r="G35" s="17">
        <v>366</v>
      </c>
      <c r="H35" s="17">
        <v>308</v>
      </c>
      <c r="I35" s="17">
        <v>38127</v>
      </c>
      <c r="J35" s="17">
        <v>63790</v>
      </c>
      <c r="K35" s="17">
        <v>287</v>
      </c>
      <c r="L35" s="17" t="s">
        <v>368</v>
      </c>
      <c r="M35" s="17" t="s">
        <v>20</v>
      </c>
    </row>
    <row r="36" spans="1:13">
      <c r="A36" s="17" t="s">
        <v>74</v>
      </c>
      <c r="B36" s="17" t="s">
        <v>27</v>
      </c>
      <c r="C36" s="19">
        <v>45785</v>
      </c>
      <c r="D36" s="17" t="s">
        <v>28</v>
      </c>
      <c r="E36" s="17" t="s">
        <v>51</v>
      </c>
      <c r="F36" s="17">
        <v>3316</v>
      </c>
      <c r="G36" s="17">
        <v>332</v>
      </c>
      <c r="H36" s="17">
        <v>268</v>
      </c>
      <c r="I36" s="17">
        <v>40095</v>
      </c>
      <c r="J36" s="17">
        <v>36913</v>
      </c>
      <c r="K36" s="17">
        <v>265</v>
      </c>
      <c r="L36" s="17" t="s">
        <v>369</v>
      </c>
      <c r="M36" s="17" t="s">
        <v>20</v>
      </c>
    </row>
    <row r="37" spans="1:13">
      <c r="A37" s="17" t="s">
        <v>75</v>
      </c>
      <c r="B37" s="17" t="s">
        <v>15</v>
      </c>
      <c r="C37" s="19">
        <v>45416</v>
      </c>
      <c r="D37" s="17" t="s">
        <v>16</v>
      </c>
      <c r="E37" s="17" t="s">
        <v>32</v>
      </c>
      <c r="F37" s="17">
        <v>2274</v>
      </c>
      <c r="G37" s="17">
        <v>243</v>
      </c>
      <c r="H37" s="17">
        <v>222</v>
      </c>
      <c r="I37" s="17">
        <v>43066</v>
      </c>
      <c r="J37" s="17">
        <v>59174</v>
      </c>
      <c r="K37" s="17">
        <v>80</v>
      </c>
      <c r="L37" s="17" t="s">
        <v>23</v>
      </c>
      <c r="M37" s="17" t="s">
        <v>25</v>
      </c>
    </row>
    <row r="38" spans="1:13">
      <c r="A38" s="17" t="s">
        <v>76</v>
      </c>
      <c r="B38" s="17" t="s">
        <v>27</v>
      </c>
      <c r="C38" s="19">
        <v>45804</v>
      </c>
      <c r="D38" s="17" t="s">
        <v>28</v>
      </c>
      <c r="E38" s="17" t="s">
        <v>22</v>
      </c>
      <c r="F38" s="17">
        <v>4095</v>
      </c>
      <c r="G38" s="17">
        <v>385</v>
      </c>
      <c r="H38" s="17">
        <v>400</v>
      </c>
      <c r="I38" s="17">
        <v>45300</v>
      </c>
      <c r="J38" s="17">
        <v>31795</v>
      </c>
      <c r="K38" s="17">
        <v>80</v>
      </c>
      <c r="L38" s="17" t="s">
        <v>369</v>
      </c>
      <c r="M38" s="17" t="s">
        <v>20</v>
      </c>
    </row>
    <row r="39" spans="1:13">
      <c r="A39" s="17" t="s">
        <v>77</v>
      </c>
      <c r="B39" s="17" t="s">
        <v>15</v>
      </c>
      <c r="C39" s="19">
        <v>45545</v>
      </c>
      <c r="D39" s="17" t="s">
        <v>28</v>
      </c>
      <c r="E39" s="17" t="s">
        <v>29</v>
      </c>
      <c r="F39" s="17">
        <v>1230</v>
      </c>
      <c r="G39" s="17">
        <v>309</v>
      </c>
      <c r="H39" s="17">
        <v>207</v>
      </c>
      <c r="I39" s="17">
        <v>44629</v>
      </c>
      <c r="J39" s="17">
        <v>40699</v>
      </c>
      <c r="K39" s="17">
        <v>195</v>
      </c>
      <c r="L39" s="17" t="s">
        <v>19</v>
      </c>
      <c r="M39" s="17" t="s">
        <v>55</v>
      </c>
    </row>
    <row r="40" spans="1:13">
      <c r="A40" s="17" t="s">
        <v>78</v>
      </c>
      <c r="B40" s="17" t="s">
        <v>15</v>
      </c>
      <c r="C40" s="19">
        <v>45621</v>
      </c>
      <c r="D40" s="17" t="s">
        <v>16</v>
      </c>
      <c r="E40" s="17" t="s">
        <v>49</v>
      </c>
      <c r="F40" s="17">
        <v>1341</v>
      </c>
      <c r="G40" s="17">
        <v>472</v>
      </c>
      <c r="H40" s="17">
        <v>238</v>
      </c>
      <c r="I40" s="17">
        <v>51386</v>
      </c>
      <c r="J40" s="17">
        <v>51706</v>
      </c>
      <c r="K40" s="17">
        <v>133</v>
      </c>
      <c r="L40" s="17" t="s">
        <v>23</v>
      </c>
      <c r="M40" s="17" t="s">
        <v>25</v>
      </c>
    </row>
    <row r="41" spans="1:13">
      <c r="A41" s="17" t="s">
        <v>79</v>
      </c>
      <c r="B41" s="17" t="s">
        <v>27</v>
      </c>
      <c r="C41" s="19">
        <v>45818</v>
      </c>
      <c r="D41" s="17" t="s">
        <v>16</v>
      </c>
      <c r="E41" s="17" t="s">
        <v>22</v>
      </c>
      <c r="F41" s="17">
        <v>3615</v>
      </c>
      <c r="G41" s="17">
        <v>192</v>
      </c>
      <c r="H41" s="17">
        <v>162</v>
      </c>
      <c r="I41" s="17">
        <v>27492</v>
      </c>
      <c r="J41" s="17">
        <v>35341</v>
      </c>
      <c r="K41" s="17">
        <v>125</v>
      </c>
      <c r="L41" s="17" t="s">
        <v>19</v>
      </c>
      <c r="M41" s="17" t="s">
        <v>20</v>
      </c>
    </row>
    <row r="42" spans="1:13">
      <c r="A42" s="17" t="s">
        <v>80</v>
      </c>
      <c r="B42" s="17" t="s">
        <v>15</v>
      </c>
      <c r="C42" s="19">
        <v>45401</v>
      </c>
      <c r="D42" s="17" t="s">
        <v>16</v>
      </c>
      <c r="E42" s="17" t="s">
        <v>29</v>
      </c>
      <c r="F42" s="17">
        <v>4001</v>
      </c>
      <c r="G42" s="17">
        <v>353</v>
      </c>
      <c r="H42" s="17">
        <v>129</v>
      </c>
      <c r="I42" s="17">
        <v>41265</v>
      </c>
      <c r="J42" s="17">
        <v>37279</v>
      </c>
      <c r="K42" s="17">
        <v>275</v>
      </c>
      <c r="L42" s="17" t="s">
        <v>368</v>
      </c>
      <c r="M42" s="17" t="s">
        <v>20</v>
      </c>
    </row>
    <row r="43" spans="1:13">
      <c r="A43" s="17" t="s">
        <v>81</v>
      </c>
      <c r="B43" s="17" t="s">
        <v>15</v>
      </c>
      <c r="C43" s="19">
        <v>45683</v>
      </c>
      <c r="D43" s="17" t="s">
        <v>28</v>
      </c>
      <c r="E43" s="17" t="s">
        <v>38</v>
      </c>
      <c r="F43" s="17">
        <v>3451</v>
      </c>
      <c r="G43" s="17">
        <v>363</v>
      </c>
      <c r="H43" s="17">
        <v>393</v>
      </c>
      <c r="I43" s="17">
        <v>44853</v>
      </c>
      <c r="J43" s="17">
        <v>69032</v>
      </c>
      <c r="K43" s="17">
        <v>211</v>
      </c>
      <c r="L43" s="17" t="s">
        <v>19</v>
      </c>
      <c r="M43" s="17" t="s">
        <v>55</v>
      </c>
    </row>
    <row r="44" spans="1:13">
      <c r="A44" s="17" t="s">
        <v>82</v>
      </c>
      <c r="B44" s="17" t="s">
        <v>15</v>
      </c>
      <c r="C44" s="19">
        <v>45702</v>
      </c>
      <c r="D44" s="17" t="s">
        <v>16</v>
      </c>
      <c r="E44" s="17" t="s">
        <v>43</v>
      </c>
      <c r="F44" s="17">
        <v>4891</v>
      </c>
      <c r="G44" s="17">
        <v>450</v>
      </c>
      <c r="H44" s="17">
        <v>387</v>
      </c>
      <c r="I44" s="17">
        <v>48746</v>
      </c>
      <c r="J44" s="17">
        <v>37312</v>
      </c>
      <c r="K44" s="17">
        <v>154</v>
      </c>
      <c r="L44" s="17" t="s">
        <v>368</v>
      </c>
      <c r="M44" s="17" t="s">
        <v>20</v>
      </c>
    </row>
    <row r="45" spans="1:13">
      <c r="A45" s="17" t="s">
        <v>83</v>
      </c>
      <c r="B45" s="17" t="s">
        <v>15</v>
      </c>
      <c r="C45" s="19">
        <v>45541</v>
      </c>
      <c r="D45" s="17" t="s">
        <v>16</v>
      </c>
      <c r="E45" s="17" t="s">
        <v>29</v>
      </c>
      <c r="F45" s="17">
        <v>1452</v>
      </c>
      <c r="G45" s="17">
        <v>281</v>
      </c>
      <c r="H45" s="17">
        <v>326</v>
      </c>
      <c r="I45" s="17">
        <v>51556</v>
      </c>
      <c r="J45" s="17">
        <v>62599</v>
      </c>
      <c r="K45" s="17">
        <v>290</v>
      </c>
      <c r="L45" s="17" t="s">
        <v>23</v>
      </c>
      <c r="M45" s="17" t="s">
        <v>25</v>
      </c>
    </row>
    <row r="46" spans="1:13">
      <c r="A46" s="17" t="s">
        <v>84</v>
      </c>
      <c r="B46" s="17" t="s">
        <v>34</v>
      </c>
      <c r="C46" s="19">
        <v>45487</v>
      </c>
      <c r="D46" s="17" t="s">
        <v>16</v>
      </c>
      <c r="E46" s="17" t="s">
        <v>51</v>
      </c>
      <c r="F46" s="17">
        <v>3806</v>
      </c>
      <c r="G46" s="17">
        <v>114</v>
      </c>
      <c r="H46" s="17">
        <v>278</v>
      </c>
      <c r="I46" s="17">
        <v>36148</v>
      </c>
      <c r="J46" s="17">
        <v>24209</v>
      </c>
      <c r="K46" s="17">
        <v>201</v>
      </c>
      <c r="L46" s="17" t="s">
        <v>370</v>
      </c>
      <c r="M46" s="17" t="s">
        <v>25</v>
      </c>
    </row>
    <row r="47" spans="1:13">
      <c r="A47" s="17" t="s">
        <v>85</v>
      </c>
      <c r="B47" s="17" t="s">
        <v>15</v>
      </c>
      <c r="C47" s="19">
        <v>45334</v>
      </c>
      <c r="D47" s="17" t="s">
        <v>16</v>
      </c>
      <c r="E47" s="17" t="s">
        <v>22</v>
      </c>
      <c r="F47" s="17">
        <v>2923</v>
      </c>
      <c r="G47" s="17">
        <v>330</v>
      </c>
      <c r="H47" s="17">
        <v>250</v>
      </c>
      <c r="I47" s="17">
        <v>23993</v>
      </c>
      <c r="J47" s="17">
        <v>74590</v>
      </c>
      <c r="K47" s="17">
        <v>92</v>
      </c>
      <c r="L47" s="17" t="s">
        <v>23</v>
      </c>
      <c r="M47" s="17" t="s">
        <v>25</v>
      </c>
    </row>
    <row r="48" spans="1:13">
      <c r="A48" s="17" t="s">
        <v>86</v>
      </c>
      <c r="B48" s="17" t="s">
        <v>34</v>
      </c>
      <c r="C48" s="19">
        <v>45365</v>
      </c>
      <c r="D48" s="17" t="s">
        <v>57</v>
      </c>
      <c r="E48" s="17" t="s">
        <v>49</v>
      </c>
      <c r="F48" s="17">
        <v>3361</v>
      </c>
      <c r="G48" s="17">
        <v>188</v>
      </c>
      <c r="H48" s="17">
        <v>358</v>
      </c>
      <c r="I48" s="17">
        <v>39838</v>
      </c>
      <c r="J48" s="17">
        <v>24536</v>
      </c>
      <c r="K48" s="17">
        <v>120</v>
      </c>
      <c r="L48" s="17" t="s">
        <v>372</v>
      </c>
      <c r="M48" s="17" t="s">
        <v>58</v>
      </c>
    </row>
    <row r="49" spans="1:13">
      <c r="A49" s="17" t="s">
        <v>87</v>
      </c>
      <c r="B49" s="17" t="s">
        <v>15</v>
      </c>
      <c r="C49" s="19">
        <v>45693</v>
      </c>
      <c r="D49" s="17" t="s">
        <v>28</v>
      </c>
      <c r="E49" s="17" t="s">
        <v>35</v>
      </c>
      <c r="F49" s="17">
        <v>3074</v>
      </c>
      <c r="G49" s="17">
        <v>371</v>
      </c>
      <c r="H49" s="17">
        <v>348</v>
      </c>
      <c r="I49" s="17">
        <v>24104</v>
      </c>
      <c r="J49" s="17">
        <v>57803</v>
      </c>
      <c r="K49" s="17">
        <v>213</v>
      </c>
      <c r="L49" s="17" t="s">
        <v>19</v>
      </c>
      <c r="M49" s="17" t="s">
        <v>55</v>
      </c>
    </row>
    <row r="50" spans="1:13">
      <c r="A50" s="17" t="s">
        <v>88</v>
      </c>
      <c r="B50" s="17" t="s">
        <v>27</v>
      </c>
      <c r="C50" s="19">
        <v>45533</v>
      </c>
      <c r="D50" s="17" t="s">
        <v>28</v>
      </c>
      <c r="E50" s="17" t="s">
        <v>40</v>
      </c>
      <c r="F50" s="17">
        <v>4276</v>
      </c>
      <c r="G50" s="17">
        <v>227</v>
      </c>
      <c r="H50" s="17">
        <v>223</v>
      </c>
      <c r="I50" s="17">
        <v>43443</v>
      </c>
      <c r="J50" s="17">
        <v>41005</v>
      </c>
      <c r="K50" s="17">
        <v>191</v>
      </c>
      <c r="L50" s="17" t="s">
        <v>371</v>
      </c>
      <c r="M50" s="17" t="s">
        <v>20</v>
      </c>
    </row>
    <row r="51" spans="1:13">
      <c r="A51" s="17" t="s">
        <v>89</v>
      </c>
      <c r="B51" s="17" t="s">
        <v>27</v>
      </c>
      <c r="C51" s="19">
        <v>45769</v>
      </c>
      <c r="D51" s="17" t="s">
        <v>16</v>
      </c>
      <c r="E51" s="17" t="s">
        <v>17</v>
      </c>
      <c r="F51" s="17">
        <v>4401</v>
      </c>
      <c r="G51" s="17">
        <v>421</v>
      </c>
      <c r="H51" s="17">
        <v>216</v>
      </c>
      <c r="I51" s="17">
        <v>24890</v>
      </c>
      <c r="J51" s="17">
        <v>54361</v>
      </c>
      <c r="K51" s="17">
        <v>148</v>
      </c>
      <c r="L51" s="17" t="s">
        <v>19</v>
      </c>
      <c r="M51" s="17" t="s">
        <v>20</v>
      </c>
    </row>
    <row r="52" spans="1:13">
      <c r="A52" s="17" t="s">
        <v>90</v>
      </c>
      <c r="B52" s="17" t="s">
        <v>34</v>
      </c>
      <c r="C52" s="19">
        <v>45425</v>
      </c>
      <c r="D52" s="17" t="s">
        <v>57</v>
      </c>
      <c r="E52" s="17" t="s">
        <v>22</v>
      </c>
      <c r="F52" s="17">
        <v>4161</v>
      </c>
      <c r="G52" s="17">
        <v>481</v>
      </c>
      <c r="H52" s="17">
        <v>61</v>
      </c>
      <c r="I52" s="17">
        <v>45884</v>
      </c>
      <c r="J52" s="17">
        <v>48955</v>
      </c>
      <c r="K52" s="17">
        <v>215</v>
      </c>
      <c r="L52" s="17" t="s">
        <v>372</v>
      </c>
      <c r="M52" s="17" t="s">
        <v>58</v>
      </c>
    </row>
    <row r="53" spans="1:13">
      <c r="A53" s="17" t="s">
        <v>91</v>
      </c>
      <c r="B53" s="17" t="s">
        <v>27</v>
      </c>
      <c r="C53" s="19">
        <v>45539</v>
      </c>
      <c r="D53" s="17" t="s">
        <v>28</v>
      </c>
      <c r="E53" s="17" t="s">
        <v>29</v>
      </c>
      <c r="F53" s="17">
        <v>2613</v>
      </c>
      <c r="G53" s="17">
        <v>455</v>
      </c>
      <c r="H53" s="17">
        <v>228</v>
      </c>
      <c r="I53" s="17">
        <v>21645</v>
      </c>
      <c r="J53" s="17">
        <v>61334</v>
      </c>
      <c r="K53" s="17">
        <v>261</v>
      </c>
      <c r="L53" s="17" t="s">
        <v>371</v>
      </c>
      <c r="M53" s="17" t="s">
        <v>20</v>
      </c>
    </row>
    <row r="54" spans="1:13">
      <c r="A54" s="17" t="s">
        <v>92</v>
      </c>
      <c r="B54" s="17" t="s">
        <v>27</v>
      </c>
      <c r="C54" s="19">
        <v>45516</v>
      </c>
      <c r="D54" s="17" t="s">
        <v>28</v>
      </c>
      <c r="E54" s="17" t="s">
        <v>38</v>
      </c>
      <c r="F54" s="17">
        <v>2842</v>
      </c>
      <c r="G54" s="17">
        <v>213</v>
      </c>
      <c r="H54" s="17">
        <v>331</v>
      </c>
      <c r="I54" s="17">
        <v>57660</v>
      </c>
      <c r="J54" s="17">
        <v>68606</v>
      </c>
      <c r="K54" s="17">
        <v>87</v>
      </c>
      <c r="L54" s="17" t="s">
        <v>369</v>
      </c>
      <c r="M54" s="17" t="s">
        <v>20</v>
      </c>
    </row>
    <row r="55" spans="1:13">
      <c r="A55" s="17" t="s">
        <v>93</v>
      </c>
      <c r="B55" s="17" t="s">
        <v>15</v>
      </c>
      <c r="C55" s="19">
        <v>45722</v>
      </c>
      <c r="D55" s="17" t="s">
        <v>16</v>
      </c>
      <c r="E55" s="17" t="s">
        <v>40</v>
      </c>
      <c r="F55" s="17">
        <v>4851</v>
      </c>
      <c r="G55" s="17">
        <v>460</v>
      </c>
      <c r="H55" s="17">
        <v>212</v>
      </c>
      <c r="I55" s="17">
        <v>58075</v>
      </c>
      <c r="J55" s="17">
        <v>59574</v>
      </c>
      <c r="K55" s="17">
        <v>239</v>
      </c>
      <c r="L55" s="17" t="s">
        <v>23</v>
      </c>
      <c r="M55" s="17" t="s">
        <v>25</v>
      </c>
    </row>
    <row r="56" spans="1:13">
      <c r="A56" s="17" t="s">
        <v>94</v>
      </c>
      <c r="B56" s="17" t="s">
        <v>27</v>
      </c>
      <c r="C56" s="19">
        <v>45420</v>
      </c>
      <c r="D56" s="17" t="s">
        <v>16</v>
      </c>
      <c r="E56" s="17" t="s">
        <v>22</v>
      </c>
      <c r="F56" s="17">
        <v>1828</v>
      </c>
      <c r="G56" s="17">
        <v>450</v>
      </c>
      <c r="H56" s="17">
        <v>214</v>
      </c>
      <c r="I56" s="17">
        <v>52115</v>
      </c>
      <c r="J56" s="17">
        <v>19166</v>
      </c>
      <c r="K56" s="17">
        <v>190</v>
      </c>
      <c r="L56" s="17" t="s">
        <v>19</v>
      </c>
      <c r="M56" s="17" t="s">
        <v>20</v>
      </c>
    </row>
    <row r="57" spans="1:13">
      <c r="A57" s="17" t="s">
        <v>95</v>
      </c>
      <c r="B57" s="17" t="s">
        <v>15</v>
      </c>
      <c r="C57" s="19">
        <v>45707</v>
      </c>
      <c r="D57" s="17" t="s">
        <v>28</v>
      </c>
      <c r="E57" s="17" t="s">
        <v>49</v>
      </c>
      <c r="F57" s="17">
        <v>2422</v>
      </c>
      <c r="G57" s="17">
        <v>455</v>
      </c>
      <c r="H57" s="17">
        <v>376</v>
      </c>
      <c r="I57" s="17">
        <v>23428</v>
      </c>
      <c r="J57" s="17">
        <v>46775</v>
      </c>
      <c r="K57" s="17">
        <v>259</v>
      </c>
      <c r="L57" s="17" t="s">
        <v>19</v>
      </c>
      <c r="M57" s="17" t="s">
        <v>55</v>
      </c>
    </row>
    <row r="58" spans="1:13">
      <c r="A58" s="17" t="s">
        <v>96</v>
      </c>
      <c r="B58" s="17" t="s">
        <v>15</v>
      </c>
      <c r="C58" s="19">
        <v>45299</v>
      </c>
      <c r="D58" s="17" t="s">
        <v>16</v>
      </c>
      <c r="E58" s="17" t="s">
        <v>43</v>
      </c>
      <c r="F58" s="17">
        <v>2683</v>
      </c>
      <c r="G58" s="17">
        <v>405</v>
      </c>
      <c r="H58" s="17">
        <v>223</v>
      </c>
      <c r="I58" s="17">
        <v>31233</v>
      </c>
      <c r="J58" s="17">
        <v>58106</v>
      </c>
      <c r="K58" s="17">
        <v>291</v>
      </c>
      <c r="L58" s="17" t="s">
        <v>23</v>
      </c>
      <c r="M58" s="17" t="s">
        <v>25</v>
      </c>
    </row>
    <row r="59" spans="1:13">
      <c r="A59" s="17" t="s">
        <v>97</v>
      </c>
      <c r="B59" s="17" t="s">
        <v>34</v>
      </c>
      <c r="C59" s="19">
        <v>45490</v>
      </c>
      <c r="D59" s="17" t="s">
        <v>16</v>
      </c>
      <c r="E59" s="17" t="s">
        <v>43</v>
      </c>
      <c r="F59" s="17">
        <v>3135</v>
      </c>
      <c r="G59" s="17">
        <v>110</v>
      </c>
      <c r="H59" s="17">
        <v>215</v>
      </c>
      <c r="I59" s="17">
        <v>39192</v>
      </c>
      <c r="J59" s="17">
        <v>24744</v>
      </c>
      <c r="K59" s="17">
        <v>177</v>
      </c>
      <c r="L59" s="17" t="s">
        <v>370</v>
      </c>
      <c r="M59" s="17" t="s">
        <v>25</v>
      </c>
    </row>
    <row r="60" spans="1:13">
      <c r="A60" s="17" t="s">
        <v>98</v>
      </c>
      <c r="B60" s="17" t="s">
        <v>34</v>
      </c>
      <c r="C60" s="19">
        <v>45514</v>
      </c>
      <c r="D60" s="17" t="s">
        <v>16</v>
      </c>
      <c r="E60" s="17" t="s">
        <v>49</v>
      </c>
      <c r="F60" s="17">
        <v>1105</v>
      </c>
      <c r="G60" s="17">
        <v>181</v>
      </c>
      <c r="H60" s="17">
        <v>55</v>
      </c>
      <c r="I60" s="17">
        <v>53581</v>
      </c>
      <c r="J60" s="17">
        <v>74048</v>
      </c>
      <c r="K60" s="17">
        <v>220</v>
      </c>
      <c r="L60" s="17" t="s">
        <v>370</v>
      </c>
      <c r="M60" s="17" t="s">
        <v>25</v>
      </c>
    </row>
    <row r="61" spans="1:13">
      <c r="A61" s="17" t="s">
        <v>99</v>
      </c>
      <c r="B61" s="17" t="s">
        <v>34</v>
      </c>
      <c r="C61" s="19">
        <v>45398</v>
      </c>
      <c r="D61" s="17" t="s">
        <v>16</v>
      </c>
      <c r="E61" s="17" t="s">
        <v>17</v>
      </c>
      <c r="F61" s="17">
        <v>4674</v>
      </c>
      <c r="G61" s="17">
        <v>326</v>
      </c>
      <c r="H61" s="17">
        <v>62</v>
      </c>
      <c r="I61" s="17">
        <v>45503</v>
      </c>
      <c r="J61" s="17">
        <v>46814</v>
      </c>
      <c r="K61" s="17">
        <v>116</v>
      </c>
      <c r="L61" s="17" t="s">
        <v>370</v>
      </c>
      <c r="M61" s="17" t="s">
        <v>25</v>
      </c>
    </row>
    <row r="62" spans="1:13">
      <c r="A62" s="17" t="s">
        <v>100</v>
      </c>
      <c r="B62" s="17" t="s">
        <v>34</v>
      </c>
      <c r="C62" s="19">
        <v>45292</v>
      </c>
      <c r="D62" s="17" t="s">
        <v>57</v>
      </c>
      <c r="E62" s="17" t="s">
        <v>22</v>
      </c>
      <c r="F62" s="17">
        <v>3437</v>
      </c>
      <c r="G62" s="17">
        <v>129</v>
      </c>
      <c r="H62" s="17">
        <v>359</v>
      </c>
      <c r="I62" s="17">
        <v>44558</v>
      </c>
      <c r="J62" s="17">
        <v>30854</v>
      </c>
      <c r="K62" s="17">
        <v>171</v>
      </c>
      <c r="L62" s="17" t="s">
        <v>372</v>
      </c>
      <c r="M62" s="17" t="s">
        <v>58</v>
      </c>
    </row>
    <row r="63" spans="1:13">
      <c r="A63" s="17" t="s">
        <v>101</v>
      </c>
      <c r="B63" s="17" t="s">
        <v>27</v>
      </c>
      <c r="C63" s="19">
        <v>45599</v>
      </c>
      <c r="D63" s="17" t="s">
        <v>28</v>
      </c>
      <c r="E63" s="17" t="s">
        <v>32</v>
      </c>
      <c r="F63" s="17">
        <v>1959</v>
      </c>
      <c r="G63" s="17">
        <v>316</v>
      </c>
      <c r="H63" s="17">
        <v>82</v>
      </c>
      <c r="I63" s="17">
        <v>54036</v>
      </c>
      <c r="J63" s="17">
        <v>69015</v>
      </c>
      <c r="K63" s="17">
        <v>182</v>
      </c>
      <c r="L63" s="17" t="s">
        <v>369</v>
      </c>
      <c r="M63" s="17" t="s">
        <v>20</v>
      </c>
    </row>
    <row r="64" spans="1:13">
      <c r="A64" s="17" t="s">
        <v>102</v>
      </c>
      <c r="B64" s="17" t="s">
        <v>27</v>
      </c>
      <c r="C64" s="19">
        <v>45480</v>
      </c>
      <c r="D64" s="17" t="s">
        <v>16</v>
      </c>
      <c r="E64" s="17" t="s">
        <v>29</v>
      </c>
      <c r="F64" s="17">
        <v>1035</v>
      </c>
      <c r="G64" s="17">
        <v>137</v>
      </c>
      <c r="H64" s="17">
        <v>184</v>
      </c>
      <c r="I64" s="17">
        <v>37302</v>
      </c>
      <c r="J64" s="17">
        <v>68953</v>
      </c>
      <c r="K64" s="17">
        <v>237</v>
      </c>
      <c r="L64" s="17" t="s">
        <v>18</v>
      </c>
      <c r="M64" s="17" t="s">
        <v>25</v>
      </c>
    </row>
    <row r="65" spans="1:13">
      <c r="A65" s="17" t="s">
        <v>103</v>
      </c>
      <c r="B65" s="17" t="s">
        <v>27</v>
      </c>
      <c r="C65" s="19">
        <v>45679</v>
      </c>
      <c r="D65" s="17" t="s">
        <v>28</v>
      </c>
      <c r="E65" s="17" t="s">
        <v>29</v>
      </c>
      <c r="F65" s="17">
        <v>4478</v>
      </c>
      <c r="G65" s="17">
        <v>101</v>
      </c>
      <c r="H65" s="17">
        <v>121</v>
      </c>
      <c r="I65" s="17">
        <v>51035</v>
      </c>
      <c r="J65" s="17">
        <v>58207</v>
      </c>
      <c r="K65" s="17">
        <v>205</v>
      </c>
      <c r="L65" s="17" t="s">
        <v>369</v>
      </c>
      <c r="M65" s="17" t="s">
        <v>20</v>
      </c>
    </row>
    <row r="66" spans="1:13">
      <c r="A66" s="17" t="s">
        <v>104</v>
      </c>
      <c r="B66" s="17" t="s">
        <v>34</v>
      </c>
      <c r="C66" s="19">
        <v>45438</v>
      </c>
      <c r="D66" s="17" t="s">
        <v>16</v>
      </c>
      <c r="E66" s="17" t="s">
        <v>49</v>
      </c>
      <c r="F66" s="17">
        <v>1488</v>
      </c>
      <c r="G66" s="17">
        <v>327</v>
      </c>
      <c r="H66" s="17">
        <v>110</v>
      </c>
      <c r="I66" s="17">
        <v>53805</v>
      </c>
      <c r="J66" s="17">
        <v>30239</v>
      </c>
      <c r="K66" s="17">
        <v>109</v>
      </c>
      <c r="L66" s="17" t="s">
        <v>370</v>
      </c>
      <c r="M66" s="17" t="s">
        <v>25</v>
      </c>
    </row>
    <row r="67" spans="1:13">
      <c r="A67" s="17" t="s">
        <v>105</v>
      </c>
      <c r="B67" s="17" t="s">
        <v>15</v>
      </c>
      <c r="C67" s="19">
        <v>45763</v>
      </c>
      <c r="D67" s="17" t="s">
        <v>16</v>
      </c>
      <c r="E67" s="17" t="s">
        <v>32</v>
      </c>
      <c r="F67" s="17">
        <v>4836</v>
      </c>
      <c r="G67" s="17">
        <v>331</v>
      </c>
      <c r="H67" s="17">
        <v>140</v>
      </c>
      <c r="I67" s="17">
        <v>58792</v>
      </c>
      <c r="J67" s="17">
        <v>47711</v>
      </c>
      <c r="K67" s="17">
        <v>227</v>
      </c>
      <c r="L67" s="17" t="s">
        <v>368</v>
      </c>
      <c r="M67" s="17" t="s">
        <v>20</v>
      </c>
    </row>
    <row r="68" spans="1:13">
      <c r="A68" s="17" t="s">
        <v>106</v>
      </c>
      <c r="B68" s="17" t="s">
        <v>34</v>
      </c>
      <c r="C68" s="19">
        <v>45384</v>
      </c>
      <c r="D68" s="17" t="s">
        <v>57</v>
      </c>
      <c r="E68" s="17" t="s">
        <v>51</v>
      </c>
      <c r="F68" s="17">
        <v>4563</v>
      </c>
      <c r="G68" s="17">
        <v>488</v>
      </c>
      <c r="H68" s="17">
        <v>356</v>
      </c>
      <c r="I68" s="17">
        <v>30619</v>
      </c>
      <c r="J68" s="17">
        <v>23328</v>
      </c>
      <c r="K68" s="17">
        <v>267</v>
      </c>
      <c r="L68" s="17" t="s">
        <v>372</v>
      </c>
      <c r="M68" s="17" t="s">
        <v>58</v>
      </c>
    </row>
    <row r="69" spans="1:13">
      <c r="A69" s="17" t="s">
        <v>107</v>
      </c>
      <c r="B69" s="17" t="s">
        <v>27</v>
      </c>
      <c r="C69" s="19">
        <v>45379</v>
      </c>
      <c r="D69" s="17" t="s">
        <v>16</v>
      </c>
      <c r="E69" s="17" t="s">
        <v>35</v>
      </c>
      <c r="F69" s="17">
        <v>3276</v>
      </c>
      <c r="G69" s="17">
        <v>421</v>
      </c>
      <c r="H69" s="17">
        <v>114</v>
      </c>
      <c r="I69" s="17">
        <v>20580</v>
      </c>
      <c r="J69" s="17">
        <v>30324</v>
      </c>
      <c r="K69" s="17">
        <v>221</v>
      </c>
      <c r="L69" s="17" t="s">
        <v>18</v>
      </c>
      <c r="M69" s="17" t="s">
        <v>25</v>
      </c>
    </row>
    <row r="70" spans="1:13">
      <c r="A70" s="17" t="s">
        <v>108</v>
      </c>
      <c r="B70" s="17" t="s">
        <v>27</v>
      </c>
      <c r="C70" s="19">
        <v>45643</v>
      </c>
      <c r="D70" s="17" t="s">
        <v>28</v>
      </c>
      <c r="E70" s="17" t="s">
        <v>35</v>
      </c>
      <c r="F70" s="17">
        <v>1316</v>
      </c>
      <c r="G70" s="17">
        <v>472</v>
      </c>
      <c r="H70" s="17">
        <v>286</v>
      </c>
      <c r="I70" s="17">
        <v>44692</v>
      </c>
      <c r="J70" s="17">
        <v>53343</v>
      </c>
      <c r="K70" s="17">
        <v>227</v>
      </c>
      <c r="L70" s="17" t="s">
        <v>371</v>
      </c>
      <c r="M70" s="17" t="s">
        <v>20</v>
      </c>
    </row>
    <row r="71" spans="1:13">
      <c r="A71" s="17" t="s">
        <v>109</v>
      </c>
      <c r="B71" s="17" t="s">
        <v>27</v>
      </c>
      <c r="C71" s="19">
        <v>45662</v>
      </c>
      <c r="D71" s="17" t="s">
        <v>16</v>
      </c>
      <c r="E71" s="17" t="s">
        <v>32</v>
      </c>
      <c r="F71" s="17">
        <v>4811</v>
      </c>
      <c r="G71" s="17">
        <v>473</v>
      </c>
      <c r="H71" s="17">
        <v>254</v>
      </c>
      <c r="I71" s="17">
        <v>51964</v>
      </c>
      <c r="J71" s="17">
        <v>68795</v>
      </c>
      <c r="K71" s="17">
        <v>107</v>
      </c>
      <c r="L71" s="17" t="s">
        <v>19</v>
      </c>
      <c r="M71" s="17" t="s">
        <v>20</v>
      </c>
    </row>
    <row r="72" spans="1:13">
      <c r="A72" s="17" t="s">
        <v>110</v>
      </c>
      <c r="B72" s="17" t="s">
        <v>27</v>
      </c>
      <c r="C72" s="19">
        <v>45302</v>
      </c>
      <c r="D72" s="17" t="s">
        <v>16</v>
      </c>
      <c r="E72" s="17" t="s">
        <v>38</v>
      </c>
      <c r="F72" s="17">
        <v>4218</v>
      </c>
      <c r="G72" s="17">
        <v>247</v>
      </c>
      <c r="H72" s="17">
        <v>183</v>
      </c>
      <c r="I72" s="17">
        <v>28914</v>
      </c>
      <c r="J72" s="17">
        <v>18310</v>
      </c>
      <c r="K72" s="17">
        <v>135</v>
      </c>
      <c r="L72" s="17" t="s">
        <v>18</v>
      </c>
      <c r="M72" s="17" t="s">
        <v>25</v>
      </c>
    </row>
    <row r="73" spans="1:13">
      <c r="A73" s="17" t="s">
        <v>111</v>
      </c>
      <c r="B73" s="17" t="s">
        <v>15</v>
      </c>
      <c r="C73" s="19">
        <v>45576</v>
      </c>
      <c r="D73" s="17" t="s">
        <v>16</v>
      </c>
      <c r="E73" s="17" t="s">
        <v>49</v>
      </c>
      <c r="F73" s="17">
        <v>1360</v>
      </c>
      <c r="G73" s="17">
        <v>249</v>
      </c>
      <c r="H73" s="17">
        <v>52</v>
      </c>
      <c r="I73" s="17">
        <v>20368</v>
      </c>
      <c r="J73" s="17">
        <v>42152</v>
      </c>
      <c r="K73" s="17">
        <v>193</v>
      </c>
      <c r="L73" s="17" t="s">
        <v>23</v>
      </c>
      <c r="M73" s="17" t="s">
        <v>25</v>
      </c>
    </row>
    <row r="74" spans="1:13">
      <c r="A74" s="17" t="s">
        <v>112</v>
      </c>
      <c r="B74" s="17" t="s">
        <v>34</v>
      </c>
      <c r="C74" s="19">
        <v>45783</v>
      </c>
      <c r="D74" s="17" t="s">
        <v>57</v>
      </c>
      <c r="E74" s="17" t="s">
        <v>17</v>
      </c>
      <c r="F74" s="17">
        <v>1085</v>
      </c>
      <c r="G74" s="17">
        <v>496</v>
      </c>
      <c r="H74" s="17">
        <v>320</v>
      </c>
      <c r="I74" s="17">
        <v>36528</v>
      </c>
      <c r="J74" s="17">
        <v>38599</v>
      </c>
      <c r="K74" s="17">
        <v>270</v>
      </c>
      <c r="L74" s="17" t="s">
        <v>372</v>
      </c>
      <c r="M74" s="17" t="s">
        <v>58</v>
      </c>
    </row>
    <row r="75" spans="1:13">
      <c r="A75" s="17" t="s">
        <v>113</v>
      </c>
      <c r="B75" s="17" t="s">
        <v>27</v>
      </c>
      <c r="C75" s="19">
        <v>45431</v>
      </c>
      <c r="D75" s="17" t="s">
        <v>28</v>
      </c>
      <c r="E75" s="17" t="s">
        <v>40</v>
      </c>
      <c r="F75" s="17">
        <v>1763</v>
      </c>
      <c r="G75" s="17">
        <v>206</v>
      </c>
      <c r="H75" s="17">
        <v>187</v>
      </c>
      <c r="I75" s="17">
        <v>53342</v>
      </c>
      <c r="J75" s="17">
        <v>25095</v>
      </c>
      <c r="K75" s="17">
        <v>88</v>
      </c>
      <c r="L75" s="17" t="s">
        <v>371</v>
      </c>
      <c r="M75" s="17" t="s">
        <v>20</v>
      </c>
    </row>
    <row r="76" spans="1:13">
      <c r="A76" s="17" t="s">
        <v>114</v>
      </c>
      <c r="B76" s="17" t="s">
        <v>27</v>
      </c>
      <c r="C76" s="19">
        <v>45313</v>
      </c>
      <c r="D76" s="17" t="s">
        <v>28</v>
      </c>
      <c r="E76" s="17" t="s">
        <v>49</v>
      </c>
      <c r="F76" s="17">
        <v>1554</v>
      </c>
      <c r="G76" s="17">
        <v>455</v>
      </c>
      <c r="H76" s="17">
        <v>158</v>
      </c>
      <c r="I76" s="17">
        <v>41947</v>
      </c>
      <c r="J76" s="17">
        <v>48578</v>
      </c>
      <c r="K76" s="17">
        <v>101</v>
      </c>
      <c r="L76" s="17" t="s">
        <v>368</v>
      </c>
      <c r="M76" s="17" t="s">
        <v>20</v>
      </c>
    </row>
    <row r="77" spans="1:13">
      <c r="A77" s="17" t="s">
        <v>115</v>
      </c>
      <c r="B77" s="17" t="s">
        <v>15</v>
      </c>
      <c r="C77" s="19">
        <v>45487</v>
      </c>
      <c r="D77" s="17" t="s">
        <v>16</v>
      </c>
      <c r="E77" s="17" t="s">
        <v>32</v>
      </c>
      <c r="F77" s="17">
        <v>2464</v>
      </c>
      <c r="G77" s="17">
        <v>401</v>
      </c>
      <c r="H77" s="17">
        <v>78</v>
      </c>
      <c r="I77" s="17">
        <v>38665</v>
      </c>
      <c r="J77" s="17">
        <v>73593</v>
      </c>
      <c r="K77" s="17">
        <v>207</v>
      </c>
      <c r="L77" s="17" t="s">
        <v>23</v>
      </c>
      <c r="M77" s="17" t="s">
        <v>25</v>
      </c>
    </row>
    <row r="78" spans="1:13">
      <c r="A78" s="17" t="s">
        <v>116</v>
      </c>
      <c r="B78" s="17" t="s">
        <v>27</v>
      </c>
      <c r="C78" s="19">
        <v>45805</v>
      </c>
      <c r="D78" s="17" t="s">
        <v>16</v>
      </c>
      <c r="E78" s="17" t="s">
        <v>49</v>
      </c>
      <c r="F78" s="17">
        <v>2418</v>
      </c>
      <c r="G78" s="17">
        <v>161</v>
      </c>
      <c r="H78" s="17">
        <v>360</v>
      </c>
      <c r="I78" s="17">
        <v>30589</v>
      </c>
      <c r="J78" s="17">
        <v>41383</v>
      </c>
      <c r="K78" s="17">
        <v>88</v>
      </c>
      <c r="L78" s="17" t="s">
        <v>19</v>
      </c>
      <c r="M78" s="17" t="s">
        <v>20</v>
      </c>
    </row>
    <row r="79" spans="1:13">
      <c r="A79" s="17" t="s">
        <v>117</v>
      </c>
      <c r="B79" s="17" t="s">
        <v>27</v>
      </c>
      <c r="C79" s="19">
        <v>45678</v>
      </c>
      <c r="D79" s="17" t="s">
        <v>28</v>
      </c>
      <c r="E79" s="17" t="s">
        <v>17</v>
      </c>
      <c r="F79" s="17">
        <v>2494</v>
      </c>
      <c r="G79" s="17">
        <v>494</v>
      </c>
      <c r="H79" s="17">
        <v>55</v>
      </c>
      <c r="I79" s="17">
        <v>22580</v>
      </c>
      <c r="J79" s="17">
        <v>22214</v>
      </c>
      <c r="K79" s="17">
        <v>109</v>
      </c>
      <c r="L79" s="17" t="s">
        <v>369</v>
      </c>
      <c r="M79" s="17" t="s">
        <v>20</v>
      </c>
    </row>
    <row r="80" spans="1:13">
      <c r="A80" s="17" t="s">
        <v>118</v>
      </c>
      <c r="B80" s="17" t="s">
        <v>34</v>
      </c>
      <c r="C80" s="19">
        <v>45304</v>
      </c>
      <c r="D80" s="17" t="s">
        <v>57</v>
      </c>
      <c r="E80" s="17" t="s">
        <v>29</v>
      </c>
      <c r="F80" s="17">
        <v>4781</v>
      </c>
      <c r="G80" s="17">
        <v>191</v>
      </c>
      <c r="H80" s="17">
        <v>122</v>
      </c>
      <c r="I80" s="17">
        <v>35535</v>
      </c>
      <c r="J80" s="17">
        <v>50777</v>
      </c>
      <c r="K80" s="17">
        <v>128</v>
      </c>
      <c r="L80" s="17" t="s">
        <v>372</v>
      </c>
      <c r="M80" s="17" t="s">
        <v>58</v>
      </c>
    </row>
    <row r="81" spans="1:13">
      <c r="A81" s="17" t="s">
        <v>119</v>
      </c>
      <c r="B81" s="17" t="s">
        <v>15</v>
      </c>
      <c r="C81" s="19">
        <v>45825</v>
      </c>
      <c r="D81" s="17" t="s">
        <v>16</v>
      </c>
      <c r="E81" s="17" t="s">
        <v>35</v>
      </c>
      <c r="F81" s="17">
        <v>2284</v>
      </c>
      <c r="G81" s="17">
        <v>187</v>
      </c>
      <c r="H81" s="17">
        <v>260</v>
      </c>
      <c r="I81" s="17">
        <v>37400</v>
      </c>
      <c r="J81" s="17">
        <v>65014</v>
      </c>
      <c r="K81" s="17">
        <v>157</v>
      </c>
      <c r="L81" s="17" t="s">
        <v>368</v>
      </c>
      <c r="M81" s="17" t="s">
        <v>20</v>
      </c>
    </row>
    <row r="82" spans="1:13">
      <c r="A82" s="17" t="s">
        <v>120</v>
      </c>
      <c r="B82" s="17" t="s">
        <v>27</v>
      </c>
      <c r="C82" s="19">
        <v>45723</v>
      </c>
      <c r="D82" s="17" t="s">
        <v>16</v>
      </c>
      <c r="E82" s="17" t="s">
        <v>40</v>
      </c>
      <c r="F82" s="17">
        <v>4234</v>
      </c>
      <c r="G82" s="17">
        <v>486</v>
      </c>
      <c r="H82" s="17">
        <v>276</v>
      </c>
      <c r="I82" s="17">
        <v>56623</v>
      </c>
      <c r="J82" s="17">
        <v>41343</v>
      </c>
      <c r="K82" s="17">
        <v>184</v>
      </c>
      <c r="L82" s="17" t="s">
        <v>18</v>
      </c>
      <c r="M82" s="17" t="s">
        <v>25</v>
      </c>
    </row>
    <row r="83" spans="1:13">
      <c r="A83" s="17" t="s">
        <v>121</v>
      </c>
      <c r="B83" s="17" t="s">
        <v>15</v>
      </c>
      <c r="C83" s="19">
        <v>45530</v>
      </c>
      <c r="D83" s="17" t="s">
        <v>16</v>
      </c>
      <c r="E83" s="17" t="s">
        <v>51</v>
      </c>
      <c r="F83" s="17">
        <v>2102</v>
      </c>
      <c r="G83" s="17">
        <v>181</v>
      </c>
      <c r="H83" s="17">
        <v>306</v>
      </c>
      <c r="I83" s="17">
        <v>43650</v>
      </c>
      <c r="J83" s="17">
        <v>50079</v>
      </c>
      <c r="K83" s="17">
        <v>182</v>
      </c>
      <c r="L83" s="17" t="s">
        <v>23</v>
      </c>
      <c r="M83" s="17" t="s">
        <v>25</v>
      </c>
    </row>
    <row r="84" spans="1:13">
      <c r="A84" s="17" t="s">
        <v>122</v>
      </c>
      <c r="B84" s="17" t="s">
        <v>27</v>
      </c>
      <c r="C84" s="19">
        <v>45660</v>
      </c>
      <c r="D84" s="17" t="s">
        <v>28</v>
      </c>
      <c r="E84" s="17" t="s">
        <v>40</v>
      </c>
      <c r="F84" s="17">
        <v>4845</v>
      </c>
      <c r="G84" s="17">
        <v>158</v>
      </c>
      <c r="H84" s="17">
        <v>84</v>
      </c>
      <c r="I84" s="17">
        <v>34578</v>
      </c>
      <c r="J84" s="17">
        <v>51480</v>
      </c>
      <c r="K84" s="17">
        <v>180</v>
      </c>
      <c r="L84" s="17" t="s">
        <v>368</v>
      </c>
      <c r="M84" s="17" t="s">
        <v>20</v>
      </c>
    </row>
    <row r="85" spans="1:13">
      <c r="A85" s="17" t="s">
        <v>123</v>
      </c>
      <c r="B85" s="17" t="s">
        <v>27</v>
      </c>
      <c r="C85" s="19">
        <v>45507</v>
      </c>
      <c r="D85" s="17" t="s">
        <v>16</v>
      </c>
      <c r="E85" s="17" t="s">
        <v>51</v>
      </c>
      <c r="F85" s="17">
        <v>4247</v>
      </c>
      <c r="G85" s="17">
        <v>390</v>
      </c>
      <c r="H85" s="17">
        <v>213</v>
      </c>
      <c r="I85" s="17">
        <v>29785</v>
      </c>
      <c r="J85" s="17">
        <v>57768</v>
      </c>
      <c r="K85" s="17">
        <v>122</v>
      </c>
      <c r="L85" s="17" t="s">
        <v>19</v>
      </c>
      <c r="M85" s="17" t="s">
        <v>20</v>
      </c>
    </row>
    <row r="86" spans="1:13">
      <c r="A86" s="17" t="s">
        <v>124</v>
      </c>
      <c r="B86" s="17" t="s">
        <v>15</v>
      </c>
      <c r="C86" s="19">
        <v>45522</v>
      </c>
      <c r="D86" s="17" t="s">
        <v>16</v>
      </c>
      <c r="E86" s="17" t="s">
        <v>22</v>
      </c>
      <c r="F86" s="17">
        <v>2965</v>
      </c>
      <c r="G86" s="17">
        <v>328</v>
      </c>
      <c r="H86" s="17">
        <v>171</v>
      </c>
      <c r="I86" s="17">
        <v>57685</v>
      </c>
      <c r="J86" s="17">
        <v>67536</v>
      </c>
      <c r="K86" s="17">
        <v>264</v>
      </c>
      <c r="L86" s="17" t="s">
        <v>368</v>
      </c>
      <c r="M86" s="17" t="s">
        <v>20</v>
      </c>
    </row>
    <row r="87" spans="1:13">
      <c r="A87" s="17" t="s">
        <v>125</v>
      </c>
      <c r="B87" s="17" t="s">
        <v>27</v>
      </c>
      <c r="C87" s="19">
        <v>45791</v>
      </c>
      <c r="D87" s="17" t="s">
        <v>28</v>
      </c>
      <c r="E87" s="17" t="s">
        <v>32</v>
      </c>
      <c r="F87" s="17">
        <v>1371</v>
      </c>
      <c r="G87" s="17">
        <v>139</v>
      </c>
      <c r="H87" s="17">
        <v>96</v>
      </c>
      <c r="I87" s="17">
        <v>36140</v>
      </c>
      <c r="J87" s="17">
        <v>39395</v>
      </c>
      <c r="K87" s="17">
        <v>169</v>
      </c>
      <c r="L87" s="17" t="s">
        <v>368</v>
      </c>
      <c r="M87" s="17" t="s">
        <v>20</v>
      </c>
    </row>
    <row r="88" spans="1:13">
      <c r="A88" s="17" t="s">
        <v>126</v>
      </c>
      <c r="B88" s="17" t="s">
        <v>27</v>
      </c>
      <c r="C88" s="19">
        <v>45405</v>
      </c>
      <c r="D88" s="17" t="s">
        <v>28</v>
      </c>
      <c r="E88" s="17" t="s">
        <v>17</v>
      </c>
      <c r="F88" s="17">
        <v>2683</v>
      </c>
      <c r="G88" s="17">
        <v>496</v>
      </c>
      <c r="H88" s="17">
        <v>89</v>
      </c>
      <c r="I88" s="17">
        <v>53435</v>
      </c>
      <c r="J88" s="17">
        <v>30334</v>
      </c>
      <c r="K88" s="17">
        <v>160</v>
      </c>
      <c r="L88" s="17" t="s">
        <v>368</v>
      </c>
      <c r="M88" s="17" t="s">
        <v>20</v>
      </c>
    </row>
    <row r="89" spans="1:13">
      <c r="A89" s="17" t="s">
        <v>127</v>
      </c>
      <c r="B89" s="17" t="s">
        <v>27</v>
      </c>
      <c r="C89" s="19">
        <v>45705</v>
      </c>
      <c r="D89" s="17" t="s">
        <v>28</v>
      </c>
      <c r="E89" s="17" t="s">
        <v>38</v>
      </c>
      <c r="F89" s="17">
        <v>4796</v>
      </c>
      <c r="G89" s="17">
        <v>427</v>
      </c>
      <c r="H89" s="17">
        <v>339</v>
      </c>
      <c r="I89" s="17">
        <v>30752</v>
      </c>
      <c r="J89" s="17">
        <v>33870</v>
      </c>
      <c r="K89" s="17">
        <v>298</v>
      </c>
      <c r="L89" s="17" t="s">
        <v>368</v>
      </c>
      <c r="M89" s="17" t="s">
        <v>20</v>
      </c>
    </row>
    <row r="90" spans="1:13">
      <c r="A90" s="17" t="s">
        <v>128</v>
      </c>
      <c r="B90" s="17" t="s">
        <v>15</v>
      </c>
      <c r="C90" s="19">
        <v>45630</v>
      </c>
      <c r="D90" s="17" t="s">
        <v>16</v>
      </c>
      <c r="E90" s="17" t="s">
        <v>32</v>
      </c>
      <c r="F90" s="17">
        <v>2601</v>
      </c>
      <c r="G90" s="17">
        <v>336</v>
      </c>
      <c r="H90" s="17">
        <v>260</v>
      </c>
      <c r="I90" s="17">
        <v>32368</v>
      </c>
      <c r="J90" s="17">
        <v>49028</v>
      </c>
      <c r="K90" s="17">
        <v>120</v>
      </c>
      <c r="L90" s="17" t="s">
        <v>368</v>
      </c>
      <c r="M90" s="17" t="s">
        <v>20</v>
      </c>
    </row>
    <row r="91" spans="1:13">
      <c r="A91" s="17" t="s">
        <v>129</v>
      </c>
      <c r="B91" s="17" t="s">
        <v>27</v>
      </c>
      <c r="C91" s="19">
        <v>45495</v>
      </c>
      <c r="D91" s="17" t="s">
        <v>28</v>
      </c>
      <c r="E91" s="17" t="s">
        <v>32</v>
      </c>
      <c r="F91" s="17">
        <v>3336</v>
      </c>
      <c r="G91" s="17">
        <v>229</v>
      </c>
      <c r="H91" s="17">
        <v>337</v>
      </c>
      <c r="I91" s="17">
        <v>22117</v>
      </c>
      <c r="J91" s="17">
        <v>26205</v>
      </c>
      <c r="K91" s="17">
        <v>160</v>
      </c>
      <c r="L91" s="17" t="s">
        <v>369</v>
      </c>
      <c r="M91" s="17" t="s">
        <v>20</v>
      </c>
    </row>
    <row r="92" spans="1:13">
      <c r="A92" s="17" t="s">
        <v>130</v>
      </c>
      <c r="B92" s="17" t="s">
        <v>27</v>
      </c>
      <c r="C92" s="19">
        <v>45774</v>
      </c>
      <c r="D92" s="17" t="s">
        <v>16</v>
      </c>
      <c r="E92" s="17" t="s">
        <v>22</v>
      </c>
      <c r="F92" s="17">
        <v>1165</v>
      </c>
      <c r="G92" s="17">
        <v>294</v>
      </c>
      <c r="H92" s="17">
        <v>163</v>
      </c>
      <c r="I92" s="17">
        <v>20659</v>
      </c>
      <c r="J92" s="17">
        <v>45926</v>
      </c>
      <c r="K92" s="17">
        <v>111</v>
      </c>
      <c r="L92" s="17" t="s">
        <v>18</v>
      </c>
      <c r="M92" s="17" t="s">
        <v>25</v>
      </c>
    </row>
    <row r="93" spans="1:13">
      <c r="A93" s="17" t="s">
        <v>131</v>
      </c>
      <c r="B93" s="17" t="s">
        <v>34</v>
      </c>
      <c r="C93" s="19">
        <v>45376</v>
      </c>
      <c r="D93" s="17" t="s">
        <v>57</v>
      </c>
      <c r="E93" s="17" t="s">
        <v>22</v>
      </c>
      <c r="F93" s="17">
        <v>1948</v>
      </c>
      <c r="G93" s="17">
        <v>155</v>
      </c>
      <c r="H93" s="17">
        <v>315</v>
      </c>
      <c r="I93" s="17">
        <v>30321</v>
      </c>
      <c r="J93" s="17">
        <v>57121</v>
      </c>
      <c r="K93" s="17">
        <v>82</v>
      </c>
      <c r="L93" s="17" t="s">
        <v>372</v>
      </c>
      <c r="M93" s="17" t="s">
        <v>58</v>
      </c>
    </row>
    <row r="94" spans="1:13">
      <c r="A94" s="17" t="s">
        <v>132</v>
      </c>
      <c r="B94" s="17" t="s">
        <v>15</v>
      </c>
      <c r="C94" s="19">
        <v>45351</v>
      </c>
      <c r="D94" s="17" t="s">
        <v>16</v>
      </c>
      <c r="E94" s="17" t="s">
        <v>49</v>
      </c>
      <c r="F94" s="17">
        <v>1100</v>
      </c>
      <c r="G94" s="17">
        <v>229</v>
      </c>
      <c r="H94" s="17">
        <v>312</v>
      </c>
      <c r="I94" s="17">
        <v>25641</v>
      </c>
      <c r="J94" s="17">
        <v>34601</v>
      </c>
      <c r="K94" s="17">
        <v>169</v>
      </c>
      <c r="L94" s="17" t="s">
        <v>23</v>
      </c>
      <c r="M94" s="17" t="s">
        <v>25</v>
      </c>
    </row>
    <row r="95" spans="1:13">
      <c r="A95" s="17" t="s">
        <v>133</v>
      </c>
      <c r="B95" s="17" t="s">
        <v>27</v>
      </c>
      <c r="C95" s="19">
        <v>45609</v>
      </c>
      <c r="D95" s="17" t="s">
        <v>28</v>
      </c>
      <c r="E95" s="17" t="s">
        <v>43</v>
      </c>
      <c r="F95" s="17">
        <v>4628</v>
      </c>
      <c r="G95" s="17">
        <v>257</v>
      </c>
      <c r="H95" s="17">
        <v>397</v>
      </c>
      <c r="I95" s="17">
        <v>36686</v>
      </c>
      <c r="J95" s="17">
        <v>54683</v>
      </c>
      <c r="K95" s="17">
        <v>98</v>
      </c>
      <c r="L95" s="17" t="s">
        <v>368</v>
      </c>
      <c r="M95" s="17" t="s">
        <v>20</v>
      </c>
    </row>
    <row r="96" spans="1:13">
      <c r="A96" s="17" t="s">
        <v>134</v>
      </c>
      <c r="B96" s="17" t="s">
        <v>15</v>
      </c>
      <c r="C96" s="19">
        <v>45373</v>
      </c>
      <c r="D96" s="17" t="s">
        <v>28</v>
      </c>
      <c r="E96" s="17" t="s">
        <v>17</v>
      </c>
      <c r="F96" s="17">
        <v>2319</v>
      </c>
      <c r="G96" s="17">
        <v>484</v>
      </c>
      <c r="H96" s="17">
        <v>193</v>
      </c>
      <c r="I96" s="17">
        <v>21202</v>
      </c>
      <c r="J96" s="17">
        <v>18091</v>
      </c>
      <c r="K96" s="17">
        <v>241</v>
      </c>
      <c r="L96" s="17" t="s">
        <v>19</v>
      </c>
      <c r="M96" s="17" t="s">
        <v>55</v>
      </c>
    </row>
    <row r="97" spans="1:13">
      <c r="A97" s="17" t="s">
        <v>135</v>
      </c>
      <c r="B97" s="17" t="s">
        <v>27</v>
      </c>
      <c r="C97" s="19">
        <v>45367</v>
      </c>
      <c r="D97" s="17" t="s">
        <v>28</v>
      </c>
      <c r="E97" s="17" t="s">
        <v>32</v>
      </c>
      <c r="F97" s="17">
        <v>2895</v>
      </c>
      <c r="G97" s="17">
        <v>292</v>
      </c>
      <c r="H97" s="17">
        <v>90</v>
      </c>
      <c r="I97" s="17">
        <v>24223</v>
      </c>
      <c r="J97" s="17">
        <v>54626</v>
      </c>
      <c r="K97" s="17">
        <v>114</v>
      </c>
      <c r="L97" s="17" t="s">
        <v>368</v>
      </c>
      <c r="M97" s="17" t="s">
        <v>20</v>
      </c>
    </row>
    <row r="98" spans="1:13">
      <c r="A98" s="17" t="s">
        <v>136</v>
      </c>
      <c r="B98" s="17" t="s">
        <v>15</v>
      </c>
      <c r="C98" s="19">
        <v>45317</v>
      </c>
      <c r="D98" s="17" t="s">
        <v>16</v>
      </c>
      <c r="E98" s="17" t="s">
        <v>38</v>
      </c>
      <c r="F98" s="17">
        <v>3878</v>
      </c>
      <c r="G98" s="17">
        <v>431</v>
      </c>
      <c r="H98" s="17">
        <v>97</v>
      </c>
      <c r="I98" s="17">
        <v>41763</v>
      </c>
      <c r="J98" s="17">
        <v>29729</v>
      </c>
      <c r="K98" s="17">
        <v>191</v>
      </c>
      <c r="L98" s="17" t="s">
        <v>23</v>
      </c>
      <c r="M98" s="17" t="s">
        <v>25</v>
      </c>
    </row>
    <row r="99" spans="1:13">
      <c r="A99" s="17" t="s">
        <v>137</v>
      </c>
      <c r="B99" s="17" t="s">
        <v>27</v>
      </c>
      <c r="C99" s="19">
        <v>45366</v>
      </c>
      <c r="D99" s="17" t="s">
        <v>28</v>
      </c>
      <c r="E99" s="17" t="s">
        <v>40</v>
      </c>
      <c r="F99" s="17">
        <v>4969</v>
      </c>
      <c r="G99" s="17">
        <v>433</v>
      </c>
      <c r="H99" s="17">
        <v>237</v>
      </c>
      <c r="I99" s="17">
        <v>59552</v>
      </c>
      <c r="J99" s="17">
        <v>23885</v>
      </c>
      <c r="K99" s="17">
        <v>157</v>
      </c>
      <c r="L99" s="17" t="s">
        <v>371</v>
      </c>
      <c r="M99" s="17" t="s">
        <v>20</v>
      </c>
    </row>
    <row r="100" spans="1:13">
      <c r="A100" s="17" t="s">
        <v>138</v>
      </c>
      <c r="B100" s="17" t="s">
        <v>27</v>
      </c>
      <c r="C100" s="19">
        <v>45580</v>
      </c>
      <c r="D100" s="17" t="s">
        <v>16</v>
      </c>
      <c r="E100" s="17" t="s">
        <v>32</v>
      </c>
      <c r="F100" s="17">
        <v>1984</v>
      </c>
      <c r="G100" s="17">
        <v>481</v>
      </c>
      <c r="H100" s="17">
        <v>356</v>
      </c>
      <c r="I100" s="17">
        <v>40681</v>
      </c>
      <c r="J100" s="17">
        <v>63111</v>
      </c>
      <c r="K100" s="17">
        <v>258</v>
      </c>
      <c r="L100" s="17" t="s">
        <v>19</v>
      </c>
      <c r="M100" s="17" t="s">
        <v>20</v>
      </c>
    </row>
    <row r="101" spans="1:13">
      <c r="A101" s="17" t="s">
        <v>139</v>
      </c>
      <c r="B101" s="17" t="s">
        <v>15</v>
      </c>
      <c r="C101" s="19">
        <v>45494</v>
      </c>
      <c r="D101" s="17" t="s">
        <v>16</v>
      </c>
      <c r="E101" s="17" t="s">
        <v>17</v>
      </c>
      <c r="F101" s="17">
        <v>3004</v>
      </c>
      <c r="G101" s="17">
        <v>415</v>
      </c>
      <c r="H101" s="17">
        <v>218</v>
      </c>
      <c r="I101" s="17">
        <v>36090</v>
      </c>
      <c r="J101" s="17">
        <v>37073</v>
      </c>
      <c r="K101" s="17">
        <v>181</v>
      </c>
      <c r="L101" s="17" t="s">
        <v>23</v>
      </c>
      <c r="M101" s="17" t="s">
        <v>25</v>
      </c>
    </row>
    <row r="102" spans="1:13">
      <c r="A102" s="17" t="s">
        <v>140</v>
      </c>
      <c r="B102" s="17" t="s">
        <v>27</v>
      </c>
      <c r="C102" s="19">
        <v>45577</v>
      </c>
      <c r="D102" s="17" t="s">
        <v>16</v>
      </c>
      <c r="E102" s="17" t="s">
        <v>40</v>
      </c>
      <c r="F102" s="17">
        <v>3169</v>
      </c>
      <c r="G102" s="17">
        <v>386</v>
      </c>
      <c r="H102" s="17">
        <v>175</v>
      </c>
      <c r="I102" s="17">
        <v>45012</v>
      </c>
      <c r="J102" s="17">
        <v>38508</v>
      </c>
      <c r="K102" s="17">
        <v>218</v>
      </c>
      <c r="L102" s="17" t="s">
        <v>19</v>
      </c>
      <c r="M102" s="17" t="s">
        <v>20</v>
      </c>
    </row>
    <row r="103" spans="1:13">
      <c r="A103" s="17" t="s">
        <v>141</v>
      </c>
      <c r="B103" s="17" t="s">
        <v>27</v>
      </c>
      <c r="C103" s="19">
        <v>45591</v>
      </c>
      <c r="D103" s="17" t="s">
        <v>16</v>
      </c>
      <c r="E103" s="17" t="s">
        <v>17</v>
      </c>
      <c r="F103" s="17">
        <v>3036</v>
      </c>
      <c r="G103" s="17">
        <v>293</v>
      </c>
      <c r="H103" s="17">
        <v>115</v>
      </c>
      <c r="I103" s="17">
        <v>23776</v>
      </c>
      <c r="J103" s="17">
        <v>46386</v>
      </c>
      <c r="K103" s="17">
        <v>282</v>
      </c>
      <c r="L103" s="17" t="s">
        <v>19</v>
      </c>
      <c r="M103" s="17" t="s">
        <v>20</v>
      </c>
    </row>
    <row r="104" spans="1:13">
      <c r="A104" s="17" t="s">
        <v>142</v>
      </c>
      <c r="B104" s="17" t="s">
        <v>15</v>
      </c>
      <c r="C104" s="19">
        <v>45336</v>
      </c>
      <c r="D104" s="17" t="s">
        <v>16</v>
      </c>
      <c r="E104" s="17" t="s">
        <v>35</v>
      </c>
      <c r="F104" s="17">
        <v>1830</v>
      </c>
      <c r="G104" s="17">
        <v>112</v>
      </c>
      <c r="H104" s="17">
        <v>181</v>
      </c>
      <c r="I104" s="17">
        <v>31870</v>
      </c>
      <c r="J104" s="17">
        <v>55742</v>
      </c>
      <c r="K104" s="17">
        <v>263</v>
      </c>
      <c r="L104" s="17" t="s">
        <v>368</v>
      </c>
      <c r="M104" s="17" t="s">
        <v>20</v>
      </c>
    </row>
    <row r="105" spans="1:13">
      <c r="A105" s="17" t="s">
        <v>143</v>
      </c>
      <c r="B105" s="17" t="s">
        <v>27</v>
      </c>
      <c r="C105" s="19">
        <v>45413</v>
      </c>
      <c r="D105" s="17" t="s">
        <v>28</v>
      </c>
      <c r="E105" s="17" t="s">
        <v>38</v>
      </c>
      <c r="F105" s="17">
        <v>2587</v>
      </c>
      <c r="G105" s="17">
        <v>447</v>
      </c>
      <c r="H105" s="17">
        <v>183</v>
      </c>
      <c r="I105" s="17">
        <v>36266</v>
      </c>
      <c r="J105" s="17">
        <v>32877</v>
      </c>
      <c r="K105" s="17">
        <v>132</v>
      </c>
      <c r="L105" s="17" t="s">
        <v>371</v>
      </c>
      <c r="M105" s="17" t="s">
        <v>20</v>
      </c>
    </row>
    <row r="106" spans="1:13">
      <c r="A106" s="17" t="s">
        <v>144</v>
      </c>
      <c r="B106" s="17" t="s">
        <v>27</v>
      </c>
      <c r="C106" s="19">
        <v>45553</v>
      </c>
      <c r="D106" s="17" t="s">
        <v>16</v>
      </c>
      <c r="E106" s="17" t="s">
        <v>17</v>
      </c>
      <c r="F106" s="17">
        <v>2878</v>
      </c>
      <c r="G106" s="17">
        <v>265</v>
      </c>
      <c r="H106" s="17">
        <v>91</v>
      </c>
      <c r="I106" s="17">
        <v>52090</v>
      </c>
      <c r="J106" s="17">
        <v>28924</v>
      </c>
      <c r="K106" s="17">
        <v>133</v>
      </c>
      <c r="L106" s="17" t="s">
        <v>19</v>
      </c>
      <c r="M106" s="17" t="s">
        <v>20</v>
      </c>
    </row>
    <row r="107" spans="1:13">
      <c r="A107" s="17" t="s">
        <v>145</v>
      </c>
      <c r="B107" s="17" t="s">
        <v>27</v>
      </c>
      <c r="C107" s="19">
        <v>45677</v>
      </c>
      <c r="D107" s="17" t="s">
        <v>28</v>
      </c>
      <c r="E107" s="17" t="s">
        <v>29</v>
      </c>
      <c r="F107" s="17">
        <v>4619</v>
      </c>
      <c r="G107" s="17">
        <v>272</v>
      </c>
      <c r="H107" s="17">
        <v>57</v>
      </c>
      <c r="I107" s="17">
        <v>21334</v>
      </c>
      <c r="J107" s="17">
        <v>46292</v>
      </c>
      <c r="K107" s="17">
        <v>91</v>
      </c>
      <c r="L107" s="17" t="s">
        <v>368</v>
      </c>
      <c r="M107" s="17" t="s">
        <v>20</v>
      </c>
    </row>
    <row r="108" spans="1:13">
      <c r="A108" s="17" t="s">
        <v>146</v>
      </c>
      <c r="B108" s="17" t="s">
        <v>27</v>
      </c>
      <c r="C108" s="19">
        <v>45670</v>
      </c>
      <c r="D108" s="17" t="s">
        <v>16</v>
      </c>
      <c r="E108" s="17" t="s">
        <v>35</v>
      </c>
      <c r="F108" s="17">
        <v>4090</v>
      </c>
      <c r="G108" s="17">
        <v>209</v>
      </c>
      <c r="H108" s="17">
        <v>278</v>
      </c>
      <c r="I108" s="17">
        <v>52853</v>
      </c>
      <c r="J108" s="17">
        <v>57084</v>
      </c>
      <c r="K108" s="17">
        <v>102</v>
      </c>
      <c r="L108" s="17" t="s">
        <v>18</v>
      </c>
      <c r="M108" s="17" t="s">
        <v>25</v>
      </c>
    </row>
    <row r="109" spans="1:13">
      <c r="A109" s="17" t="s">
        <v>147</v>
      </c>
      <c r="B109" s="17" t="s">
        <v>34</v>
      </c>
      <c r="C109" s="19">
        <v>45542</v>
      </c>
      <c r="D109" s="17" t="s">
        <v>57</v>
      </c>
      <c r="E109" s="17" t="s">
        <v>35</v>
      </c>
      <c r="F109" s="17">
        <v>3882</v>
      </c>
      <c r="G109" s="17">
        <v>342</v>
      </c>
      <c r="H109" s="17">
        <v>374</v>
      </c>
      <c r="I109" s="17">
        <v>41991</v>
      </c>
      <c r="J109" s="17">
        <v>48554</v>
      </c>
      <c r="K109" s="17">
        <v>118</v>
      </c>
      <c r="L109" s="17" t="s">
        <v>372</v>
      </c>
      <c r="M109" s="17" t="s">
        <v>58</v>
      </c>
    </row>
    <row r="110" spans="1:13">
      <c r="A110" s="17" t="s">
        <v>148</v>
      </c>
      <c r="B110" s="17" t="s">
        <v>15</v>
      </c>
      <c r="C110" s="19">
        <v>45617</v>
      </c>
      <c r="D110" s="17" t="s">
        <v>16</v>
      </c>
      <c r="E110" s="17" t="s">
        <v>35</v>
      </c>
      <c r="F110" s="17">
        <v>4581</v>
      </c>
      <c r="G110" s="17">
        <v>181</v>
      </c>
      <c r="H110" s="17">
        <v>112</v>
      </c>
      <c r="I110" s="17">
        <v>35221</v>
      </c>
      <c r="J110" s="17">
        <v>28797</v>
      </c>
      <c r="K110" s="17">
        <v>164</v>
      </c>
      <c r="L110" s="17" t="s">
        <v>368</v>
      </c>
      <c r="M110" s="17" t="s">
        <v>20</v>
      </c>
    </row>
    <row r="111" spans="1:13">
      <c r="A111" s="17" t="s">
        <v>149</v>
      </c>
      <c r="B111" s="17" t="s">
        <v>15</v>
      </c>
      <c r="C111" s="19">
        <v>45469</v>
      </c>
      <c r="D111" s="17" t="s">
        <v>16</v>
      </c>
      <c r="E111" s="17" t="s">
        <v>29</v>
      </c>
      <c r="F111" s="17">
        <v>3253</v>
      </c>
      <c r="G111" s="17">
        <v>483</v>
      </c>
      <c r="H111" s="17">
        <v>336</v>
      </c>
      <c r="I111" s="17">
        <v>25397</v>
      </c>
      <c r="J111" s="17">
        <v>51485</v>
      </c>
      <c r="K111" s="17">
        <v>131</v>
      </c>
      <c r="L111" s="17" t="s">
        <v>23</v>
      </c>
      <c r="M111" s="17" t="s">
        <v>25</v>
      </c>
    </row>
    <row r="112" spans="1:13">
      <c r="A112" s="17" t="s">
        <v>150</v>
      </c>
      <c r="B112" s="17" t="s">
        <v>34</v>
      </c>
      <c r="C112" s="19">
        <v>45493</v>
      </c>
      <c r="D112" s="17" t="s">
        <v>57</v>
      </c>
      <c r="E112" s="17" t="s">
        <v>35</v>
      </c>
      <c r="F112" s="17">
        <v>4955</v>
      </c>
      <c r="G112" s="17">
        <v>299</v>
      </c>
      <c r="H112" s="17">
        <v>345</v>
      </c>
      <c r="I112" s="17">
        <v>33644</v>
      </c>
      <c r="J112" s="17">
        <v>43547</v>
      </c>
      <c r="K112" s="17">
        <v>194</v>
      </c>
      <c r="L112" s="17" t="s">
        <v>372</v>
      </c>
      <c r="M112" s="17" t="s">
        <v>58</v>
      </c>
    </row>
    <row r="113" spans="1:13">
      <c r="A113" s="17" t="s">
        <v>151</v>
      </c>
      <c r="B113" s="17" t="s">
        <v>15</v>
      </c>
      <c r="C113" s="19">
        <v>45704</v>
      </c>
      <c r="D113" s="17" t="s">
        <v>16</v>
      </c>
      <c r="E113" s="17" t="s">
        <v>51</v>
      </c>
      <c r="F113" s="17">
        <v>1333</v>
      </c>
      <c r="G113" s="17">
        <v>286</v>
      </c>
      <c r="H113" s="17">
        <v>298</v>
      </c>
      <c r="I113" s="17">
        <v>36174</v>
      </c>
      <c r="J113" s="17">
        <v>34517</v>
      </c>
      <c r="K113" s="17">
        <v>170</v>
      </c>
      <c r="L113" s="17" t="s">
        <v>368</v>
      </c>
      <c r="M113" s="17" t="s">
        <v>20</v>
      </c>
    </row>
    <row r="114" spans="1:13">
      <c r="A114" s="17" t="s">
        <v>152</v>
      </c>
      <c r="B114" s="17" t="s">
        <v>15</v>
      </c>
      <c r="C114" s="19">
        <v>45544</v>
      </c>
      <c r="D114" s="17" t="s">
        <v>16</v>
      </c>
      <c r="E114" s="17" t="s">
        <v>29</v>
      </c>
      <c r="F114" s="17">
        <v>1616</v>
      </c>
      <c r="G114" s="17">
        <v>360</v>
      </c>
      <c r="H114" s="17">
        <v>180</v>
      </c>
      <c r="I114" s="17">
        <v>54342</v>
      </c>
      <c r="J114" s="17">
        <v>18796</v>
      </c>
      <c r="K114" s="17">
        <v>282</v>
      </c>
      <c r="L114" s="17" t="s">
        <v>368</v>
      </c>
      <c r="M114" s="17" t="s">
        <v>20</v>
      </c>
    </row>
    <row r="115" spans="1:13">
      <c r="A115" s="17" t="s">
        <v>153</v>
      </c>
      <c r="B115" s="17" t="s">
        <v>27</v>
      </c>
      <c r="C115" s="19">
        <v>45489</v>
      </c>
      <c r="D115" s="17" t="s">
        <v>16</v>
      </c>
      <c r="E115" s="17" t="s">
        <v>43</v>
      </c>
      <c r="F115" s="17">
        <v>1803</v>
      </c>
      <c r="G115" s="17">
        <v>273</v>
      </c>
      <c r="H115" s="17">
        <v>287</v>
      </c>
      <c r="I115" s="17">
        <v>46176</v>
      </c>
      <c r="J115" s="17">
        <v>25488</v>
      </c>
      <c r="K115" s="17">
        <v>141</v>
      </c>
      <c r="L115" s="17" t="s">
        <v>19</v>
      </c>
      <c r="M115" s="17" t="s">
        <v>20</v>
      </c>
    </row>
    <row r="116" spans="1:13">
      <c r="A116" s="17" t="s">
        <v>154</v>
      </c>
      <c r="B116" s="17" t="s">
        <v>15</v>
      </c>
      <c r="C116" s="19">
        <v>45762</v>
      </c>
      <c r="D116" s="17" t="s">
        <v>16</v>
      </c>
      <c r="E116" s="17" t="s">
        <v>22</v>
      </c>
      <c r="F116" s="17">
        <v>4177</v>
      </c>
      <c r="G116" s="17">
        <v>489</v>
      </c>
      <c r="H116" s="17">
        <v>331</v>
      </c>
      <c r="I116" s="17">
        <v>57451</v>
      </c>
      <c r="J116" s="17">
        <v>73793</v>
      </c>
      <c r="K116" s="17">
        <v>251</v>
      </c>
      <c r="L116" s="17" t="s">
        <v>23</v>
      </c>
      <c r="M116" s="17" t="s">
        <v>25</v>
      </c>
    </row>
    <row r="117" spans="1:13">
      <c r="A117" s="17" t="s">
        <v>155</v>
      </c>
      <c r="B117" s="17" t="s">
        <v>15</v>
      </c>
      <c r="C117" s="19">
        <v>45781</v>
      </c>
      <c r="D117" s="17" t="s">
        <v>28</v>
      </c>
      <c r="E117" s="17" t="s">
        <v>29</v>
      </c>
      <c r="F117" s="17">
        <v>1311</v>
      </c>
      <c r="G117" s="17">
        <v>181</v>
      </c>
      <c r="H117" s="17">
        <v>361</v>
      </c>
      <c r="I117" s="17">
        <v>37148</v>
      </c>
      <c r="J117" s="17">
        <v>44875</v>
      </c>
      <c r="K117" s="17">
        <v>245</v>
      </c>
      <c r="L117" s="17" t="s">
        <v>19</v>
      </c>
      <c r="M117" s="17" t="s">
        <v>55</v>
      </c>
    </row>
    <row r="118" spans="1:13">
      <c r="A118" s="17" t="s">
        <v>156</v>
      </c>
      <c r="B118" s="17" t="s">
        <v>15</v>
      </c>
      <c r="C118" s="19">
        <v>45340</v>
      </c>
      <c r="D118" s="17" t="s">
        <v>28</v>
      </c>
      <c r="E118" s="17" t="s">
        <v>49</v>
      </c>
      <c r="F118" s="17">
        <v>1516</v>
      </c>
      <c r="G118" s="17">
        <v>215</v>
      </c>
      <c r="H118" s="17">
        <v>332</v>
      </c>
      <c r="I118" s="17">
        <v>58981</v>
      </c>
      <c r="J118" s="17">
        <v>36118</v>
      </c>
      <c r="K118" s="17">
        <v>211</v>
      </c>
      <c r="L118" s="17" t="s">
        <v>19</v>
      </c>
      <c r="M118" s="17" t="s">
        <v>55</v>
      </c>
    </row>
    <row r="119" spans="1:13">
      <c r="A119" s="17" t="s">
        <v>157</v>
      </c>
      <c r="B119" s="17" t="s">
        <v>27</v>
      </c>
      <c r="C119" s="19">
        <v>45428</v>
      </c>
      <c r="D119" s="17" t="s">
        <v>28</v>
      </c>
      <c r="E119" s="17" t="s">
        <v>35</v>
      </c>
      <c r="F119" s="17">
        <v>2023</v>
      </c>
      <c r="G119" s="17">
        <v>124</v>
      </c>
      <c r="H119" s="17">
        <v>99</v>
      </c>
      <c r="I119" s="17">
        <v>54524</v>
      </c>
      <c r="J119" s="17">
        <v>34790</v>
      </c>
      <c r="K119" s="17">
        <v>195</v>
      </c>
      <c r="L119" s="17" t="s">
        <v>371</v>
      </c>
      <c r="M119" s="17" t="s">
        <v>20</v>
      </c>
    </row>
    <row r="120" spans="1:13">
      <c r="A120" s="17" t="s">
        <v>158</v>
      </c>
      <c r="B120" s="17" t="s">
        <v>27</v>
      </c>
      <c r="C120" s="19">
        <v>45806</v>
      </c>
      <c r="D120" s="17" t="s">
        <v>28</v>
      </c>
      <c r="E120" s="17" t="s">
        <v>35</v>
      </c>
      <c r="F120" s="17">
        <v>2134</v>
      </c>
      <c r="G120" s="17">
        <v>322</v>
      </c>
      <c r="H120" s="17">
        <v>114</v>
      </c>
      <c r="I120" s="17">
        <v>44338</v>
      </c>
      <c r="J120" s="17">
        <v>52165</v>
      </c>
      <c r="K120" s="17">
        <v>176</v>
      </c>
      <c r="L120" s="17" t="s">
        <v>369</v>
      </c>
      <c r="M120" s="17" t="s">
        <v>20</v>
      </c>
    </row>
    <row r="121" spans="1:13">
      <c r="A121" s="17" t="s">
        <v>159</v>
      </c>
      <c r="B121" s="17" t="s">
        <v>15</v>
      </c>
      <c r="C121" s="19">
        <v>45674</v>
      </c>
      <c r="D121" s="17" t="s">
        <v>16</v>
      </c>
      <c r="E121" s="17" t="s">
        <v>43</v>
      </c>
      <c r="F121" s="17">
        <v>2266</v>
      </c>
      <c r="G121" s="17">
        <v>126</v>
      </c>
      <c r="H121" s="17">
        <v>140</v>
      </c>
      <c r="I121" s="17">
        <v>53759</v>
      </c>
      <c r="J121" s="17">
        <v>46834</v>
      </c>
      <c r="K121" s="17">
        <v>277</v>
      </c>
      <c r="L121" s="17" t="s">
        <v>23</v>
      </c>
      <c r="M121" s="17" t="s">
        <v>25</v>
      </c>
    </row>
    <row r="122" spans="1:13">
      <c r="A122" s="17" t="s">
        <v>160</v>
      </c>
      <c r="B122" s="17" t="s">
        <v>15</v>
      </c>
      <c r="C122" s="19">
        <v>45777</v>
      </c>
      <c r="D122" s="17" t="s">
        <v>28</v>
      </c>
      <c r="E122" s="17" t="s">
        <v>29</v>
      </c>
      <c r="F122" s="17">
        <v>3916</v>
      </c>
      <c r="G122" s="17">
        <v>459</v>
      </c>
      <c r="H122" s="17">
        <v>229</v>
      </c>
      <c r="I122" s="17">
        <v>48989</v>
      </c>
      <c r="J122" s="17">
        <v>39768</v>
      </c>
      <c r="K122" s="17">
        <v>200</v>
      </c>
      <c r="L122" s="17" t="s">
        <v>19</v>
      </c>
      <c r="M122" s="17" t="s">
        <v>55</v>
      </c>
    </row>
    <row r="123" spans="1:13">
      <c r="A123" s="17" t="s">
        <v>161</v>
      </c>
      <c r="B123" s="17" t="s">
        <v>27</v>
      </c>
      <c r="C123" s="19">
        <v>45346</v>
      </c>
      <c r="D123" s="17" t="s">
        <v>28</v>
      </c>
      <c r="E123" s="17" t="s">
        <v>35</v>
      </c>
      <c r="F123" s="17">
        <v>1022</v>
      </c>
      <c r="G123" s="17">
        <v>463</v>
      </c>
      <c r="H123" s="17">
        <v>360</v>
      </c>
      <c r="I123" s="17">
        <v>51468</v>
      </c>
      <c r="J123" s="17">
        <v>24279</v>
      </c>
      <c r="K123" s="17">
        <v>230</v>
      </c>
      <c r="L123" s="17" t="s">
        <v>371</v>
      </c>
      <c r="M123" s="17" t="s">
        <v>20</v>
      </c>
    </row>
    <row r="124" spans="1:13">
      <c r="A124" s="17" t="s">
        <v>162</v>
      </c>
      <c r="B124" s="17" t="s">
        <v>34</v>
      </c>
      <c r="C124" s="19">
        <v>45424</v>
      </c>
      <c r="D124" s="17" t="s">
        <v>16</v>
      </c>
      <c r="E124" s="17" t="s">
        <v>49</v>
      </c>
      <c r="F124" s="17">
        <v>2911</v>
      </c>
      <c r="G124" s="17">
        <v>467</v>
      </c>
      <c r="H124" s="17">
        <v>94</v>
      </c>
      <c r="I124" s="17">
        <v>59083</v>
      </c>
      <c r="J124" s="17">
        <v>49762</v>
      </c>
      <c r="K124" s="17">
        <v>236</v>
      </c>
      <c r="L124" s="17" t="s">
        <v>370</v>
      </c>
      <c r="M124" s="17" t="s">
        <v>25</v>
      </c>
    </row>
    <row r="125" spans="1:13">
      <c r="A125" s="17" t="s">
        <v>163</v>
      </c>
      <c r="B125" s="17" t="s">
        <v>27</v>
      </c>
      <c r="C125" s="19">
        <v>45421</v>
      </c>
      <c r="D125" s="17" t="s">
        <v>28</v>
      </c>
      <c r="E125" s="17" t="s">
        <v>29</v>
      </c>
      <c r="F125" s="17">
        <v>3277</v>
      </c>
      <c r="G125" s="17">
        <v>423</v>
      </c>
      <c r="H125" s="17">
        <v>259</v>
      </c>
      <c r="I125" s="17">
        <v>46328</v>
      </c>
      <c r="J125" s="17">
        <v>44293</v>
      </c>
      <c r="K125" s="17">
        <v>299</v>
      </c>
      <c r="L125" s="17" t="s">
        <v>368</v>
      </c>
      <c r="M125" s="17" t="s">
        <v>20</v>
      </c>
    </row>
    <row r="126" spans="1:13">
      <c r="A126" s="17" t="s">
        <v>164</v>
      </c>
      <c r="B126" s="17" t="s">
        <v>27</v>
      </c>
      <c r="C126" s="19">
        <v>45602</v>
      </c>
      <c r="D126" s="17" t="s">
        <v>16</v>
      </c>
      <c r="E126" s="17" t="s">
        <v>49</v>
      </c>
      <c r="F126" s="17">
        <v>2956</v>
      </c>
      <c r="G126" s="17">
        <v>381</v>
      </c>
      <c r="H126" s="17">
        <v>345</v>
      </c>
      <c r="I126" s="17">
        <v>33347</v>
      </c>
      <c r="J126" s="17">
        <v>22558</v>
      </c>
      <c r="K126" s="17">
        <v>173</v>
      </c>
      <c r="L126" s="17" t="s">
        <v>19</v>
      </c>
      <c r="M126" s="17" t="s">
        <v>20</v>
      </c>
    </row>
    <row r="127" spans="1:13">
      <c r="A127" s="17" t="s">
        <v>165</v>
      </c>
      <c r="B127" s="17" t="s">
        <v>27</v>
      </c>
      <c r="C127" s="19">
        <v>45295</v>
      </c>
      <c r="D127" s="17" t="s">
        <v>28</v>
      </c>
      <c r="E127" s="17" t="s">
        <v>38</v>
      </c>
      <c r="F127" s="17">
        <v>3208</v>
      </c>
      <c r="G127" s="17">
        <v>476</v>
      </c>
      <c r="H127" s="17">
        <v>277</v>
      </c>
      <c r="I127" s="17">
        <v>56072</v>
      </c>
      <c r="J127" s="17">
        <v>21061</v>
      </c>
      <c r="K127" s="17">
        <v>113</v>
      </c>
      <c r="L127" s="17" t="s">
        <v>369</v>
      </c>
      <c r="M127" s="17" t="s">
        <v>20</v>
      </c>
    </row>
    <row r="128" spans="1:13">
      <c r="A128" s="17" t="s">
        <v>166</v>
      </c>
      <c r="B128" s="17" t="s">
        <v>27</v>
      </c>
      <c r="C128" s="19">
        <v>45319</v>
      </c>
      <c r="D128" s="17" t="s">
        <v>16</v>
      </c>
      <c r="E128" s="17" t="s">
        <v>35</v>
      </c>
      <c r="F128" s="17">
        <v>1456</v>
      </c>
      <c r="G128" s="17">
        <v>265</v>
      </c>
      <c r="H128" s="17">
        <v>137</v>
      </c>
      <c r="I128" s="17">
        <v>53485</v>
      </c>
      <c r="J128" s="17">
        <v>59729</v>
      </c>
      <c r="K128" s="17">
        <v>145</v>
      </c>
      <c r="L128" s="17" t="s">
        <v>18</v>
      </c>
      <c r="M128" s="17" t="s">
        <v>25</v>
      </c>
    </row>
    <row r="129" spans="1:13">
      <c r="A129" s="17" t="s">
        <v>167</v>
      </c>
      <c r="B129" s="17" t="s">
        <v>15</v>
      </c>
      <c r="C129" s="19">
        <v>45344</v>
      </c>
      <c r="D129" s="17" t="s">
        <v>16</v>
      </c>
      <c r="E129" s="17" t="s">
        <v>29</v>
      </c>
      <c r="F129" s="17">
        <v>1902</v>
      </c>
      <c r="G129" s="17">
        <v>394</v>
      </c>
      <c r="H129" s="17">
        <v>279</v>
      </c>
      <c r="I129" s="17">
        <v>24615</v>
      </c>
      <c r="J129" s="17">
        <v>51330</v>
      </c>
      <c r="K129" s="17">
        <v>176</v>
      </c>
      <c r="L129" s="17" t="s">
        <v>368</v>
      </c>
      <c r="M129" s="17" t="s">
        <v>20</v>
      </c>
    </row>
    <row r="130" spans="1:13">
      <c r="A130" s="17" t="s">
        <v>168</v>
      </c>
      <c r="B130" s="17" t="s">
        <v>27</v>
      </c>
      <c r="C130" s="19">
        <v>45839</v>
      </c>
      <c r="D130" s="17" t="s">
        <v>28</v>
      </c>
      <c r="E130" s="17" t="s">
        <v>22</v>
      </c>
      <c r="F130" s="17">
        <v>3219</v>
      </c>
      <c r="G130" s="17">
        <v>424</v>
      </c>
      <c r="H130" s="17">
        <v>267</v>
      </c>
      <c r="I130" s="17">
        <v>48879</v>
      </c>
      <c r="J130" s="17">
        <v>37691</v>
      </c>
      <c r="K130" s="17">
        <v>224</v>
      </c>
      <c r="L130" s="17" t="s">
        <v>371</v>
      </c>
      <c r="M130" s="17" t="s">
        <v>20</v>
      </c>
    </row>
    <row r="131" spans="1:13">
      <c r="A131" s="17" t="s">
        <v>169</v>
      </c>
      <c r="B131" s="17" t="s">
        <v>34</v>
      </c>
      <c r="C131" s="19">
        <v>45301</v>
      </c>
      <c r="D131" s="17" t="s">
        <v>16</v>
      </c>
      <c r="E131" s="17" t="s">
        <v>22</v>
      </c>
      <c r="F131" s="17">
        <v>1261</v>
      </c>
      <c r="G131" s="17">
        <v>190</v>
      </c>
      <c r="H131" s="17">
        <v>233</v>
      </c>
      <c r="I131" s="17">
        <v>59888</v>
      </c>
      <c r="J131" s="17">
        <v>51449</v>
      </c>
      <c r="K131" s="17">
        <v>205</v>
      </c>
      <c r="L131" s="17" t="s">
        <v>370</v>
      </c>
      <c r="M131" s="17" t="s">
        <v>25</v>
      </c>
    </row>
    <row r="132" spans="1:13">
      <c r="A132" s="17" t="s">
        <v>170</v>
      </c>
      <c r="B132" s="17" t="s">
        <v>27</v>
      </c>
      <c r="C132" s="19">
        <v>45736</v>
      </c>
      <c r="D132" s="17" t="s">
        <v>16</v>
      </c>
      <c r="E132" s="17" t="s">
        <v>51</v>
      </c>
      <c r="F132" s="17">
        <v>1564</v>
      </c>
      <c r="G132" s="17">
        <v>362</v>
      </c>
      <c r="H132" s="17">
        <v>371</v>
      </c>
      <c r="I132" s="17">
        <v>42075</v>
      </c>
      <c r="J132" s="17">
        <v>66659</v>
      </c>
      <c r="K132" s="17">
        <v>205</v>
      </c>
      <c r="L132" s="17" t="s">
        <v>18</v>
      </c>
      <c r="M132" s="17" t="s">
        <v>25</v>
      </c>
    </row>
    <row r="133" spans="1:13">
      <c r="A133" s="17" t="s">
        <v>171</v>
      </c>
      <c r="B133" s="17" t="s">
        <v>27</v>
      </c>
      <c r="C133" s="19">
        <v>45563</v>
      </c>
      <c r="D133" s="17" t="s">
        <v>16</v>
      </c>
      <c r="E133" s="17" t="s">
        <v>38</v>
      </c>
      <c r="F133" s="17">
        <v>4006</v>
      </c>
      <c r="G133" s="17">
        <v>420</v>
      </c>
      <c r="H133" s="17">
        <v>194</v>
      </c>
      <c r="I133" s="17">
        <v>49964</v>
      </c>
      <c r="J133" s="17">
        <v>20685</v>
      </c>
      <c r="K133" s="17">
        <v>148</v>
      </c>
      <c r="L133" s="17" t="s">
        <v>19</v>
      </c>
      <c r="M133" s="17" t="s">
        <v>20</v>
      </c>
    </row>
    <row r="134" spans="1:13">
      <c r="A134" s="17" t="s">
        <v>172</v>
      </c>
      <c r="B134" s="17" t="s">
        <v>34</v>
      </c>
      <c r="C134" s="19">
        <v>45318</v>
      </c>
      <c r="D134" s="17" t="s">
        <v>16</v>
      </c>
      <c r="E134" s="17" t="s">
        <v>51</v>
      </c>
      <c r="F134" s="17">
        <v>1976</v>
      </c>
      <c r="G134" s="17">
        <v>262</v>
      </c>
      <c r="H134" s="17">
        <v>218</v>
      </c>
      <c r="I134" s="17">
        <v>51696</v>
      </c>
      <c r="J134" s="17">
        <v>44846</v>
      </c>
      <c r="K134" s="17">
        <v>139</v>
      </c>
      <c r="L134" s="17" t="s">
        <v>370</v>
      </c>
      <c r="M134" s="17" t="s">
        <v>25</v>
      </c>
    </row>
    <row r="135" spans="1:13">
      <c r="A135" s="17" t="s">
        <v>173</v>
      </c>
      <c r="B135" s="17" t="s">
        <v>27</v>
      </c>
      <c r="C135" s="19">
        <v>45792</v>
      </c>
      <c r="D135" s="17" t="s">
        <v>16</v>
      </c>
      <c r="E135" s="17" t="s">
        <v>29</v>
      </c>
      <c r="F135" s="17">
        <v>1583</v>
      </c>
      <c r="G135" s="17">
        <v>433</v>
      </c>
      <c r="H135" s="17">
        <v>249</v>
      </c>
      <c r="I135" s="17">
        <v>30256</v>
      </c>
      <c r="J135" s="17">
        <v>47066</v>
      </c>
      <c r="K135" s="17">
        <v>196</v>
      </c>
      <c r="L135" s="17" t="s">
        <v>19</v>
      </c>
      <c r="M135" s="17" t="s">
        <v>20</v>
      </c>
    </row>
    <row r="136" spans="1:13">
      <c r="A136" s="17" t="s">
        <v>174</v>
      </c>
      <c r="B136" s="17" t="s">
        <v>27</v>
      </c>
      <c r="C136" s="19">
        <v>45569</v>
      </c>
      <c r="D136" s="17" t="s">
        <v>28</v>
      </c>
      <c r="E136" s="17" t="s">
        <v>22</v>
      </c>
      <c r="F136" s="17">
        <v>2870</v>
      </c>
      <c r="G136" s="17">
        <v>380</v>
      </c>
      <c r="H136" s="17">
        <v>393</v>
      </c>
      <c r="I136" s="17">
        <v>37621</v>
      </c>
      <c r="J136" s="17">
        <v>71794</v>
      </c>
      <c r="K136" s="17">
        <v>127</v>
      </c>
      <c r="L136" s="17" t="s">
        <v>369</v>
      </c>
      <c r="M136" s="17" t="s">
        <v>20</v>
      </c>
    </row>
    <row r="137" spans="1:13">
      <c r="A137" s="17" t="s">
        <v>175</v>
      </c>
      <c r="B137" s="17" t="s">
        <v>27</v>
      </c>
      <c r="C137" s="19">
        <v>45615</v>
      </c>
      <c r="D137" s="17" t="s">
        <v>16</v>
      </c>
      <c r="E137" s="17" t="s">
        <v>43</v>
      </c>
      <c r="F137" s="17">
        <v>3728</v>
      </c>
      <c r="G137" s="17">
        <v>271</v>
      </c>
      <c r="H137" s="17">
        <v>275</v>
      </c>
      <c r="I137" s="17">
        <v>22827</v>
      </c>
      <c r="J137" s="17">
        <v>37034</v>
      </c>
      <c r="K137" s="17">
        <v>199</v>
      </c>
      <c r="L137" s="17" t="s">
        <v>19</v>
      </c>
      <c r="M137" s="17" t="s">
        <v>20</v>
      </c>
    </row>
    <row r="138" spans="1:13">
      <c r="A138" s="17" t="s">
        <v>176</v>
      </c>
      <c r="B138" s="17" t="s">
        <v>27</v>
      </c>
      <c r="C138" s="19">
        <v>45387</v>
      </c>
      <c r="D138" s="17" t="s">
        <v>28</v>
      </c>
      <c r="E138" s="17" t="s">
        <v>29</v>
      </c>
      <c r="F138" s="17">
        <v>4965</v>
      </c>
      <c r="G138" s="17">
        <v>175</v>
      </c>
      <c r="H138" s="17">
        <v>307</v>
      </c>
      <c r="I138" s="17">
        <v>32793</v>
      </c>
      <c r="J138" s="17">
        <v>43412</v>
      </c>
      <c r="K138" s="17">
        <v>296</v>
      </c>
      <c r="L138" s="17" t="s">
        <v>368</v>
      </c>
      <c r="M138" s="17" t="s">
        <v>20</v>
      </c>
    </row>
    <row r="139" spans="1:13">
      <c r="A139" s="17" t="s">
        <v>177</v>
      </c>
      <c r="B139" s="17" t="s">
        <v>27</v>
      </c>
      <c r="C139" s="19">
        <v>45624</v>
      </c>
      <c r="D139" s="17" t="s">
        <v>28</v>
      </c>
      <c r="E139" s="17" t="s">
        <v>29</v>
      </c>
      <c r="F139" s="17">
        <v>1131</v>
      </c>
      <c r="G139" s="17">
        <v>100</v>
      </c>
      <c r="H139" s="17">
        <v>116</v>
      </c>
      <c r="I139" s="17">
        <v>48437</v>
      </c>
      <c r="J139" s="17">
        <v>72704</v>
      </c>
      <c r="K139" s="17">
        <v>236</v>
      </c>
      <c r="L139" s="17" t="s">
        <v>371</v>
      </c>
      <c r="M139" s="17" t="s">
        <v>20</v>
      </c>
    </row>
    <row r="140" spans="1:13">
      <c r="A140" s="17" t="s">
        <v>178</v>
      </c>
      <c r="B140" s="17" t="s">
        <v>27</v>
      </c>
      <c r="C140" s="19">
        <v>45725</v>
      </c>
      <c r="D140" s="17" t="s">
        <v>16</v>
      </c>
      <c r="E140" s="17" t="s">
        <v>51</v>
      </c>
      <c r="F140" s="17">
        <v>2754</v>
      </c>
      <c r="G140" s="17">
        <v>215</v>
      </c>
      <c r="H140" s="17">
        <v>264</v>
      </c>
      <c r="I140" s="17">
        <v>27762</v>
      </c>
      <c r="J140" s="17">
        <v>70203</v>
      </c>
      <c r="K140" s="17">
        <v>289</v>
      </c>
      <c r="L140" s="17" t="s">
        <v>19</v>
      </c>
      <c r="M140" s="17" t="s">
        <v>20</v>
      </c>
    </row>
    <row r="141" spans="1:13">
      <c r="A141" s="17" t="s">
        <v>179</v>
      </c>
      <c r="B141" s="17" t="s">
        <v>27</v>
      </c>
      <c r="C141" s="19">
        <v>45531</v>
      </c>
      <c r="D141" s="17" t="s">
        <v>28</v>
      </c>
      <c r="E141" s="17" t="s">
        <v>29</v>
      </c>
      <c r="F141" s="17">
        <v>1856</v>
      </c>
      <c r="G141" s="17">
        <v>357</v>
      </c>
      <c r="H141" s="17">
        <v>348</v>
      </c>
      <c r="I141" s="17">
        <v>29428</v>
      </c>
      <c r="J141" s="17">
        <v>70206</v>
      </c>
      <c r="K141" s="17">
        <v>236</v>
      </c>
      <c r="L141" s="17" t="s">
        <v>369</v>
      </c>
      <c r="M141" s="17" t="s">
        <v>20</v>
      </c>
    </row>
    <row r="142" spans="1:13">
      <c r="A142" s="17" t="s">
        <v>180</v>
      </c>
      <c r="B142" s="17" t="s">
        <v>34</v>
      </c>
      <c r="C142" s="19">
        <v>45566</v>
      </c>
      <c r="D142" s="17" t="s">
        <v>57</v>
      </c>
      <c r="E142" s="17" t="s">
        <v>22</v>
      </c>
      <c r="F142" s="17">
        <v>3543</v>
      </c>
      <c r="G142" s="17">
        <v>334</v>
      </c>
      <c r="H142" s="17">
        <v>218</v>
      </c>
      <c r="I142" s="17">
        <v>58007</v>
      </c>
      <c r="J142" s="17">
        <v>24792</v>
      </c>
      <c r="K142" s="17">
        <v>273</v>
      </c>
      <c r="L142" s="17" t="s">
        <v>372</v>
      </c>
      <c r="M142" s="17" t="s">
        <v>58</v>
      </c>
    </row>
    <row r="143" spans="1:13">
      <c r="A143" s="17" t="s">
        <v>181</v>
      </c>
      <c r="B143" s="17" t="s">
        <v>15</v>
      </c>
      <c r="C143" s="19">
        <v>45647</v>
      </c>
      <c r="D143" s="17" t="s">
        <v>28</v>
      </c>
      <c r="E143" s="17" t="s">
        <v>29</v>
      </c>
      <c r="F143" s="17">
        <v>4563</v>
      </c>
      <c r="G143" s="17">
        <v>398</v>
      </c>
      <c r="H143" s="17">
        <v>163</v>
      </c>
      <c r="I143" s="17">
        <v>43679</v>
      </c>
      <c r="J143" s="17">
        <v>48760</v>
      </c>
      <c r="K143" s="17">
        <v>92</v>
      </c>
      <c r="L143" s="17" t="s">
        <v>19</v>
      </c>
      <c r="M143" s="17" t="s">
        <v>55</v>
      </c>
    </row>
    <row r="144" spans="1:13">
      <c r="A144" s="17" t="s">
        <v>182</v>
      </c>
      <c r="B144" s="17" t="s">
        <v>15</v>
      </c>
      <c r="C144" s="19">
        <v>45460</v>
      </c>
      <c r="D144" s="17" t="s">
        <v>16</v>
      </c>
      <c r="E144" s="17" t="s">
        <v>17</v>
      </c>
      <c r="F144" s="17">
        <v>4283</v>
      </c>
      <c r="G144" s="17">
        <v>471</v>
      </c>
      <c r="H144" s="17">
        <v>156</v>
      </c>
      <c r="I144" s="17">
        <v>53004</v>
      </c>
      <c r="J144" s="17">
        <v>25678</v>
      </c>
      <c r="K144" s="17">
        <v>105</v>
      </c>
      <c r="L144" s="17" t="s">
        <v>23</v>
      </c>
      <c r="M144" s="17" t="s">
        <v>25</v>
      </c>
    </row>
    <row r="145" spans="1:13">
      <c r="A145" s="17" t="s">
        <v>183</v>
      </c>
      <c r="B145" s="17" t="s">
        <v>15</v>
      </c>
      <c r="C145" s="19">
        <v>45702</v>
      </c>
      <c r="D145" s="17" t="s">
        <v>16</v>
      </c>
      <c r="E145" s="17" t="s">
        <v>17</v>
      </c>
      <c r="F145" s="17">
        <v>2329</v>
      </c>
      <c r="G145" s="17">
        <v>373</v>
      </c>
      <c r="H145" s="17">
        <v>291</v>
      </c>
      <c r="I145" s="17">
        <v>49577</v>
      </c>
      <c r="J145" s="17">
        <v>28002</v>
      </c>
      <c r="K145" s="17">
        <v>82</v>
      </c>
      <c r="L145" s="17" t="s">
        <v>368</v>
      </c>
      <c r="M145" s="17" t="s">
        <v>20</v>
      </c>
    </row>
    <row r="146" spans="1:13">
      <c r="A146" s="17" t="s">
        <v>184</v>
      </c>
      <c r="B146" s="17" t="s">
        <v>27</v>
      </c>
      <c r="C146" s="19">
        <v>45805</v>
      </c>
      <c r="D146" s="17" t="s">
        <v>28</v>
      </c>
      <c r="E146" s="17" t="s">
        <v>43</v>
      </c>
      <c r="F146" s="17">
        <v>4287</v>
      </c>
      <c r="G146" s="17">
        <v>273</v>
      </c>
      <c r="H146" s="17">
        <v>122</v>
      </c>
      <c r="I146" s="17">
        <v>40792</v>
      </c>
      <c r="J146" s="17">
        <v>23878</v>
      </c>
      <c r="K146" s="17">
        <v>277</v>
      </c>
      <c r="L146" s="17" t="s">
        <v>369</v>
      </c>
      <c r="M146" s="17" t="s">
        <v>20</v>
      </c>
    </row>
    <row r="147" spans="1:13">
      <c r="A147" s="17" t="s">
        <v>185</v>
      </c>
      <c r="B147" s="17" t="s">
        <v>15</v>
      </c>
      <c r="C147" s="19">
        <v>45799</v>
      </c>
      <c r="D147" s="17" t="s">
        <v>16</v>
      </c>
      <c r="E147" s="17" t="s">
        <v>17</v>
      </c>
      <c r="F147" s="17">
        <v>2633</v>
      </c>
      <c r="G147" s="17">
        <v>318</v>
      </c>
      <c r="H147" s="17">
        <v>380</v>
      </c>
      <c r="I147" s="17">
        <v>40869</v>
      </c>
      <c r="J147" s="17">
        <v>64474</v>
      </c>
      <c r="K147" s="17">
        <v>245</v>
      </c>
      <c r="L147" s="17" t="s">
        <v>23</v>
      </c>
      <c r="M147" s="17" t="s">
        <v>25</v>
      </c>
    </row>
    <row r="148" spans="1:13">
      <c r="A148" s="17" t="s">
        <v>186</v>
      </c>
      <c r="B148" s="17" t="s">
        <v>27</v>
      </c>
      <c r="C148" s="19">
        <v>45312</v>
      </c>
      <c r="D148" s="17" t="s">
        <v>28</v>
      </c>
      <c r="E148" s="17" t="s">
        <v>17</v>
      </c>
      <c r="F148" s="17">
        <v>2383</v>
      </c>
      <c r="G148" s="17">
        <v>136</v>
      </c>
      <c r="H148" s="17">
        <v>302</v>
      </c>
      <c r="I148" s="17">
        <v>39187</v>
      </c>
      <c r="J148" s="17">
        <v>22133</v>
      </c>
      <c r="K148" s="17">
        <v>208</v>
      </c>
      <c r="L148" s="17" t="s">
        <v>369</v>
      </c>
      <c r="M148" s="17" t="s">
        <v>20</v>
      </c>
    </row>
    <row r="149" spans="1:13">
      <c r="A149" s="17" t="s">
        <v>187</v>
      </c>
      <c r="B149" s="17" t="s">
        <v>27</v>
      </c>
      <c r="C149" s="19">
        <v>45696</v>
      </c>
      <c r="D149" s="17" t="s">
        <v>28</v>
      </c>
      <c r="E149" s="17" t="s">
        <v>51</v>
      </c>
      <c r="F149" s="17">
        <v>4752</v>
      </c>
      <c r="G149" s="17">
        <v>334</v>
      </c>
      <c r="H149" s="17">
        <v>56</v>
      </c>
      <c r="I149" s="17">
        <v>48017</v>
      </c>
      <c r="J149" s="17">
        <v>55534</v>
      </c>
      <c r="K149" s="17">
        <v>270</v>
      </c>
      <c r="L149" s="17" t="s">
        <v>371</v>
      </c>
      <c r="M149" s="17" t="s">
        <v>20</v>
      </c>
    </row>
    <row r="150" spans="1:13">
      <c r="A150" s="17" t="s">
        <v>188</v>
      </c>
      <c r="B150" s="17" t="s">
        <v>27</v>
      </c>
      <c r="C150" s="19">
        <v>45760</v>
      </c>
      <c r="D150" s="17" t="s">
        <v>16</v>
      </c>
      <c r="E150" s="17" t="s">
        <v>49</v>
      </c>
      <c r="F150" s="17">
        <v>3890</v>
      </c>
      <c r="G150" s="17">
        <v>408</v>
      </c>
      <c r="H150" s="17">
        <v>338</v>
      </c>
      <c r="I150" s="17">
        <v>56994</v>
      </c>
      <c r="J150" s="17">
        <v>32621</v>
      </c>
      <c r="K150" s="17">
        <v>286</v>
      </c>
      <c r="L150" s="17" t="s">
        <v>18</v>
      </c>
      <c r="M150" s="17" t="s">
        <v>25</v>
      </c>
    </row>
    <row r="151" spans="1:13">
      <c r="A151" s="17" t="s">
        <v>189</v>
      </c>
      <c r="B151" s="17" t="s">
        <v>27</v>
      </c>
      <c r="C151" s="19">
        <v>45442</v>
      </c>
      <c r="D151" s="17" t="s">
        <v>28</v>
      </c>
      <c r="E151" s="17" t="s">
        <v>51</v>
      </c>
      <c r="F151" s="17">
        <v>2311</v>
      </c>
      <c r="G151" s="17">
        <v>207</v>
      </c>
      <c r="H151" s="17">
        <v>363</v>
      </c>
      <c r="I151" s="17">
        <v>30349</v>
      </c>
      <c r="J151" s="17">
        <v>32925</v>
      </c>
      <c r="K151" s="17">
        <v>88</v>
      </c>
      <c r="L151" s="17" t="s">
        <v>369</v>
      </c>
      <c r="M151" s="17" t="s">
        <v>20</v>
      </c>
    </row>
    <row r="152" spans="1:13">
      <c r="A152" s="17" t="s">
        <v>190</v>
      </c>
      <c r="B152" s="17" t="s">
        <v>15</v>
      </c>
      <c r="C152" s="19">
        <v>45516</v>
      </c>
      <c r="D152" s="17" t="s">
        <v>28</v>
      </c>
      <c r="E152" s="17" t="s">
        <v>17</v>
      </c>
      <c r="F152" s="17">
        <v>2962</v>
      </c>
      <c r="G152" s="17">
        <v>400</v>
      </c>
      <c r="H152" s="17">
        <v>280</v>
      </c>
      <c r="I152" s="17">
        <v>52508</v>
      </c>
      <c r="J152" s="17">
        <v>58329</v>
      </c>
      <c r="K152" s="17">
        <v>219</v>
      </c>
      <c r="L152" s="17" t="s">
        <v>19</v>
      </c>
      <c r="M152" s="17" t="s">
        <v>55</v>
      </c>
    </row>
    <row r="153" spans="1:13">
      <c r="A153" s="17" t="s">
        <v>191</v>
      </c>
      <c r="B153" s="17" t="s">
        <v>15</v>
      </c>
      <c r="C153" s="19">
        <v>45562</v>
      </c>
      <c r="D153" s="17" t="s">
        <v>16</v>
      </c>
      <c r="E153" s="17" t="s">
        <v>17</v>
      </c>
      <c r="F153" s="17">
        <v>3118</v>
      </c>
      <c r="G153" s="17">
        <v>116</v>
      </c>
      <c r="H153" s="17">
        <v>195</v>
      </c>
      <c r="I153" s="17">
        <v>37100</v>
      </c>
      <c r="J153" s="17">
        <v>62629</v>
      </c>
      <c r="K153" s="17">
        <v>272</v>
      </c>
      <c r="L153" s="17" t="s">
        <v>23</v>
      </c>
      <c r="M153" s="17" t="s">
        <v>25</v>
      </c>
    </row>
    <row r="154" spans="1:13">
      <c r="A154" s="17" t="s">
        <v>192</v>
      </c>
      <c r="B154" s="17" t="s">
        <v>27</v>
      </c>
      <c r="C154" s="19">
        <v>45819</v>
      </c>
      <c r="D154" s="17" t="s">
        <v>28</v>
      </c>
      <c r="E154" s="17" t="s">
        <v>22</v>
      </c>
      <c r="F154" s="17">
        <v>3805</v>
      </c>
      <c r="G154" s="17">
        <v>453</v>
      </c>
      <c r="H154" s="17">
        <v>63</v>
      </c>
      <c r="I154" s="17">
        <v>52395</v>
      </c>
      <c r="J154" s="17">
        <v>72934</v>
      </c>
      <c r="K154" s="17">
        <v>87</v>
      </c>
      <c r="L154" s="17" t="s">
        <v>371</v>
      </c>
      <c r="M154" s="17" t="s">
        <v>20</v>
      </c>
    </row>
    <row r="155" spans="1:13">
      <c r="A155" s="17" t="s">
        <v>193</v>
      </c>
      <c r="B155" s="17" t="s">
        <v>15</v>
      </c>
      <c r="C155" s="19">
        <v>45615</v>
      </c>
      <c r="D155" s="17" t="s">
        <v>16</v>
      </c>
      <c r="E155" s="17" t="s">
        <v>38</v>
      </c>
      <c r="F155" s="17">
        <v>2525</v>
      </c>
      <c r="G155" s="17">
        <v>272</v>
      </c>
      <c r="H155" s="17">
        <v>294</v>
      </c>
      <c r="I155" s="17">
        <v>51875</v>
      </c>
      <c r="J155" s="17">
        <v>24732</v>
      </c>
      <c r="K155" s="17">
        <v>92</v>
      </c>
      <c r="L155" s="17" t="s">
        <v>23</v>
      </c>
      <c r="M155" s="17" t="s">
        <v>25</v>
      </c>
    </row>
    <row r="156" spans="1:13">
      <c r="A156" s="17" t="s">
        <v>194</v>
      </c>
      <c r="B156" s="17" t="s">
        <v>15</v>
      </c>
      <c r="C156" s="19">
        <v>45407</v>
      </c>
      <c r="D156" s="17" t="s">
        <v>16</v>
      </c>
      <c r="E156" s="17" t="s">
        <v>35</v>
      </c>
      <c r="F156" s="17">
        <v>3563</v>
      </c>
      <c r="G156" s="17">
        <v>483</v>
      </c>
      <c r="H156" s="17">
        <v>227</v>
      </c>
      <c r="I156" s="17">
        <v>41085</v>
      </c>
      <c r="J156" s="17">
        <v>26393</v>
      </c>
      <c r="K156" s="17">
        <v>236</v>
      </c>
      <c r="L156" s="17" t="s">
        <v>368</v>
      </c>
      <c r="M156" s="17" t="s">
        <v>20</v>
      </c>
    </row>
    <row r="157" spans="1:13">
      <c r="A157" s="17" t="s">
        <v>195</v>
      </c>
      <c r="B157" s="17" t="s">
        <v>34</v>
      </c>
      <c r="C157" s="19">
        <v>45538</v>
      </c>
      <c r="D157" s="17" t="s">
        <v>57</v>
      </c>
      <c r="E157" s="17" t="s">
        <v>38</v>
      </c>
      <c r="F157" s="17">
        <v>1437</v>
      </c>
      <c r="G157" s="17">
        <v>494</v>
      </c>
      <c r="H157" s="17">
        <v>129</v>
      </c>
      <c r="I157" s="17">
        <v>53048</v>
      </c>
      <c r="J157" s="17">
        <v>44090</v>
      </c>
      <c r="K157" s="17">
        <v>230</v>
      </c>
      <c r="L157" s="17" t="s">
        <v>372</v>
      </c>
      <c r="M157" s="17" t="s">
        <v>58</v>
      </c>
    </row>
    <row r="158" spans="1:13">
      <c r="A158" s="17" t="s">
        <v>196</v>
      </c>
      <c r="B158" s="17" t="s">
        <v>34</v>
      </c>
      <c r="C158" s="19">
        <v>45718</v>
      </c>
      <c r="D158" s="17" t="s">
        <v>16</v>
      </c>
      <c r="E158" s="17" t="s">
        <v>49</v>
      </c>
      <c r="F158" s="17">
        <v>4425</v>
      </c>
      <c r="G158" s="17">
        <v>185</v>
      </c>
      <c r="H158" s="17">
        <v>162</v>
      </c>
      <c r="I158" s="17">
        <v>24610</v>
      </c>
      <c r="J158" s="17">
        <v>21342</v>
      </c>
      <c r="K158" s="17">
        <v>158</v>
      </c>
      <c r="L158" s="17" t="s">
        <v>370</v>
      </c>
      <c r="M158" s="17" t="s">
        <v>25</v>
      </c>
    </row>
    <row r="159" spans="1:13">
      <c r="A159" s="17" t="s">
        <v>197</v>
      </c>
      <c r="B159" s="17" t="s">
        <v>27</v>
      </c>
      <c r="C159" s="19">
        <v>45737</v>
      </c>
      <c r="D159" s="17" t="s">
        <v>28</v>
      </c>
      <c r="E159" s="17" t="s">
        <v>29</v>
      </c>
      <c r="F159" s="17">
        <v>4609</v>
      </c>
      <c r="G159" s="17">
        <v>427</v>
      </c>
      <c r="H159" s="17">
        <v>395</v>
      </c>
      <c r="I159" s="17">
        <v>33698</v>
      </c>
      <c r="J159" s="17">
        <v>29259</v>
      </c>
      <c r="K159" s="17">
        <v>216</v>
      </c>
      <c r="L159" s="17" t="s">
        <v>371</v>
      </c>
      <c r="M159" s="17" t="s">
        <v>20</v>
      </c>
    </row>
    <row r="160" spans="1:13">
      <c r="A160" s="17" t="s">
        <v>198</v>
      </c>
      <c r="B160" s="17" t="s">
        <v>15</v>
      </c>
      <c r="C160" s="19">
        <v>45394</v>
      </c>
      <c r="D160" s="17" t="s">
        <v>28</v>
      </c>
      <c r="E160" s="17" t="s">
        <v>40</v>
      </c>
      <c r="F160" s="17">
        <v>1558</v>
      </c>
      <c r="G160" s="17">
        <v>352</v>
      </c>
      <c r="H160" s="17">
        <v>202</v>
      </c>
      <c r="I160" s="17">
        <v>25405</v>
      </c>
      <c r="J160" s="17">
        <v>69941</v>
      </c>
      <c r="K160" s="17">
        <v>219</v>
      </c>
      <c r="L160" s="17" t="s">
        <v>19</v>
      </c>
      <c r="M160" s="17" t="s">
        <v>55</v>
      </c>
    </row>
    <row r="161" spans="1:13">
      <c r="A161" s="17" t="s">
        <v>199</v>
      </c>
      <c r="B161" s="17" t="s">
        <v>34</v>
      </c>
      <c r="C161" s="19">
        <v>45330</v>
      </c>
      <c r="D161" s="17" t="s">
        <v>57</v>
      </c>
      <c r="E161" s="17" t="s">
        <v>43</v>
      </c>
      <c r="F161" s="17">
        <v>1889</v>
      </c>
      <c r="G161" s="17">
        <v>298</v>
      </c>
      <c r="H161" s="17">
        <v>122</v>
      </c>
      <c r="I161" s="17">
        <v>46225</v>
      </c>
      <c r="J161" s="17">
        <v>74305</v>
      </c>
      <c r="K161" s="17">
        <v>293</v>
      </c>
      <c r="L161" s="17" t="s">
        <v>372</v>
      </c>
      <c r="M161" s="17" t="s">
        <v>58</v>
      </c>
    </row>
    <row r="162" spans="1:13">
      <c r="A162" s="17" t="s">
        <v>200</v>
      </c>
      <c r="B162" s="17" t="s">
        <v>15</v>
      </c>
      <c r="C162" s="19">
        <v>45803</v>
      </c>
      <c r="D162" s="17" t="s">
        <v>16</v>
      </c>
      <c r="E162" s="17" t="s">
        <v>17</v>
      </c>
      <c r="F162" s="17">
        <v>3086</v>
      </c>
      <c r="G162" s="17">
        <v>148</v>
      </c>
      <c r="H162" s="17">
        <v>310</v>
      </c>
      <c r="I162" s="17">
        <v>22824</v>
      </c>
      <c r="J162" s="17">
        <v>58103</v>
      </c>
      <c r="K162" s="17">
        <v>275</v>
      </c>
      <c r="L162" s="17" t="s">
        <v>23</v>
      </c>
      <c r="M162" s="17" t="s">
        <v>25</v>
      </c>
    </row>
    <row r="163" spans="1:13">
      <c r="A163" s="17" t="s">
        <v>201</v>
      </c>
      <c r="B163" s="17" t="s">
        <v>15</v>
      </c>
      <c r="C163" s="19">
        <v>45610</v>
      </c>
      <c r="D163" s="17" t="s">
        <v>16</v>
      </c>
      <c r="E163" s="17" t="s">
        <v>35</v>
      </c>
      <c r="F163" s="17">
        <v>2422</v>
      </c>
      <c r="G163" s="17">
        <v>318</v>
      </c>
      <c r="H163" s="17">
        <v>118</v>
      </c>
      <c r="I163" s="17">
        <v>25386</v>
      </c>
      <c r="J163" s="17">
        <v>20873</v>
      </c>
      <c r="K163" s="17">
        <v>100</v>
      </c>
      <c r="L163" s="17" t="s">
        <v>368</v>
      </c>
      <c r="M163" s="17" t="s">
        <v>20</v>
      </c>
    </row>
    <row r="164" spans="1:13">
      <c r="A164" s="17" t="s">
        <v>202</v>
      </c>
      <c r="B164" s="17" t="s">
        <v>34</v>
      </c>
      <c r="C164" s="19">
        <v>45513</v>
      </c>
      <c r="D164" s="17" t="s">
        <v>57</v>
      </c>
      <c r="E164" s="17" t="s">
        <v>49</v>
      </c>
      <c r="F164" s="17">
        <v>3414</v>
      </c>
      <c r="G164" s="17">
        <v>154</v>
      </c>
      <c r="H164" s="17">
        <v>204</v>
      </c>
      <c r="I164" s="17">
        <v>34146</v>
      </c>
      <c r="J164" s="17">
        <v>44633</v>
      </c>
      <c r="K164" s="17">
        <v>256</v>
      </c>
      <c r="L164" s="17" t="s">
        <v>372</v>
      </c>
      <c r="M164" s="17" t="s">
        <v>58</v>
      </c>
    </row>
    <row r="165" spans="1:13">
      <c r="A165" s="17" t="s">
        <v>203</v>
      </c>
      <c r="B165" s="17" t="s">
        <v>15</v>
      </c>
      <c r="C165" s="19">
        <v>45835</v>
      </c>
      <c r="D165" s="17" t="s">
        <v>28</v>
      </c>
      <c r="E165" s="17" t="s">
        <v>38</v>
      </c>
      <c r="F165" s="17">
        <v>1342</v>
      </c>
      <c r="G165" s="17">
        <v>332</v>
      </c>
      <c r="H165" s="17">
        <v>163</v>
      </c>
      <c r="I165" s="17">
        <v>51712</v>
      </c>
      <c r="J165" s="17">
        <v>57922</v>
      </c>
      <c r="K165" s="17">
        <v>168</v>
      </c>
      <c r="L165" s="17" t="s">
        <v>19</v>
      </c>
      <c r="M165" s="17" t="s">
        <v>55</v>
      </c>
    </row>
    <row r="166" spans="1:13">
      <c r="A166" s="17" t="s">
        <v>204</v>
      </c>
      <c r="B166" s="17" t="s">
        <v>15</v>
      </c>
      <c r="C166" s="19">
        <v>45420</v>
      </c>
      <c r="D166" s="17" t="s">
        <v>28</v>
      </c>
      <c r="E166" s="17" t="s">
        <v>35</v>
      </c>
      <c r="F166" s="17">
        <v>2414</v>
      </c>
      <c r="G166" s="17">
        <v>220</v>
      </c>
      <c r="H166" s="17">
        <v>280</v>
      </c>
      <c r="I166" s="17">
        <v>27355</v>
      </c>
      <c r="J166" s="17">
        <v>50562</v>
      </c>
      <c r="K166" s="17">
        <v>258</v>
      </c>
      <c r="L166" s="17" t="s">
        <v>19</v>
      </c>
      <c r="M166" s="17" t="s">
        <v>55</v>
      </c>
    </row>
    <row r="167" spans="1:13">
      <c r="A167" s="17" t="s">
        <v>205</v>
      </c>
      <c r="B167" s="17" t="s">
        <v>15</v>
      </c>
      <c r="C167" s="19">
        <v>45387</v>
      </c>
      <c r="D167" s="17" t="s">
        <v>16</v>
      </c>
      <c r="E167" s="17" t="s">
        <v>29</v>
      </c>
      <c r="F167" s="17">
        <v>4383</v>
      </c>
      <c r="G167" s="17">
        <v>352</v>
      </c>
      <c r="H167" s="17">
        <v>176</v>
      </c>
      <c r="I167" s="17">
        <v>53239</v>
      </c>
      <c r="J167" s="17">
        <v>34168</v>
      </c>
      <c r="K167" s="17">
        <v>288</v>
      </c>
      <c r="L167" s="17" t="s">
        <v>23</v>
      </c>
      <c r="M167" s="17" t="s">
        <v>25</v>
      </c>
    </row>
    <row r="168" spans="1:13">
      <c r="A168" s="17" t="s">
        <v>206</v>
      </c>
      <c r="B168" s="17" t="s">
        <v>34</v>
      </c>
      <c r="C168" s="19">
        <v>45684</v>
      </c>
      <c r="D168" s="17" t="s">
        <v>16</v>
      </c>
      <c r="E168" s="17" t="s">
        <v>32</v>
      </c>
      <c r="F168" s="17">
        <v>4294</v>
      </c>
      <c r="G168" s="17">
        <v>423</v>
      </c>
      <c r="H168" s="17">
        <v>93</v>
      </c>
      <c r="I168" s="17">
        <v>29828</v>
      </c>
      <c r="J168" s="17">
        <v>73144</v>
      </c>
      <c r="K168" s="17">
        <v>298</v>
      </c>
      <c r="L168" s="17" t="s">
        <v>370</v>
      </c>
      <c r="M168" s="17" t="s">
        <v>25</v>
      </c>
    </row>
    <row r="169" spans="1:13">
      <c r="A169" s="17" t="s">
        <v>207</v>
      </c>
      <c r="B169" s="17" t="s">
        <v>15</v>
      </c>
      <c r="C169" s="19">
        <v>45385</v>
      </c>
      <c r="D169" s="17" t="s">
        <v>16</v>
      </c>
      <c r="E169" s="17" t="s">
        <v>43</v>
      </c>
      <c r="F169" s="17">
        <v>2762</v>
      </c>
      <c r="G169" s="17">
        <v>339</v>
      </c>
      <c r="H169" s="17">
        <v>323</v>
      </c>
      <c r="I169" s="17">
        <v>33757</v>
      </c>
      <c r="J169" s="17">
        <v>68511</v>
      </c>
      <c r="K169" s="17">
        <v>121</v>
      </c>
      <c r="L169" s="17" t="s">
        <v>368</v>
      </c>
      <c r="M169" s="17" t="s">
        <v>20</v>
      </c>
    </row>
    <row r="170" spans="1:13">
      <c r="A170" s="17" t="s">
        <v>208</v>
      </c>
      <c r="B170" s="17" t="s">
        <v>34</v>
      </c>
      <c r="C170" s="19">
        <v>45660</v>
      </c>
      <c r="D170" s="17" t="s">
        <v>16</v>
      </c>
      <c r="E170" s="17" t="s">
        <v>29</v>
      </c>
      <c r="F170" s="17">
        <v>3782</v>
      </c>
      <c r="G170" s="17">
        <v>484</v>
      </c>
      <c r="H170" s="17">
        <v>144</v>
      </c>
      <c r="I170" s="17">
        <v>52172</v>
      </c>
      <c r="J170" s="17">
        <v>59386</v>
      </c>
      <c r="K170" s="17">
        <v>175</v>
      </c>
      <c r="L170" s="17" t="s">
        <v>370</v>
      </c>
      <c r="M170" s="17" t="s">
        <v>25</v>
      </c>
    </row>
    <row r="171" spans="1:13">
      <c r="A171" s="17" t="s">
        <v>209</v>
      </c>
      <c r="B171" s="17" t="s">
        <v>27</v>
      </c>
      <c r="C171" s="19">
        <v>45619</v>
      </c>
      <c r="D171" s="17" t="s">
        <v>16</v>
      </c>
      <c r="E171" s="17" t="s">
        <v>29</v>
      </c>
      <c r="F171" s="17">
        <v>4318</v>
      </c>
      <c r="G171" s="17">
        <v>371</v>
      </c>
      <c r="H171" s="17">
        <v>329</v>
      </c>
      <c r="I171" s="17">
        <v>32347</v>
      </c>
      <c r="J171" s="17">
        <v>68956</v>
      </c>
      <c r="K171" s="17">
        <v>259</v>
      </c>
      <c r="L171" s="17" t="s">
        <v>18</v>
      </c>
      <c r="M171" s="17" t="s">
        <v>25</v>
      </c>
    </row>
    <row r="172" spans="1:13">
      <c r="A172" s="17" t="s">
        <v>210</v>
      </c>
      <c r="B172" s="17" t="s">
        <v>15</v>
      </c>
      <c r="C172" s="19">
        <v>45536</v>
      </c>
      <c r="D172" s="17" t="s">
        <v>28</v>
      </c>
      <c r="E172" s="17" t="s">
        <v>32</v>
      </c>
      <c r="F172" s="17">
        <v>2335</v>
      </c>
      <c r="G172" s="17">
        <v>150</v>
      </c>
      <c r="H172" s="17">
        <v>75</v>
      </c>
      <c r="I172" s="17">
        <v>26114</v>
      </c>
      <c r="J172" s="17">
        <v>57549</v>
      </c>
      <c r="K172" s="17">
        <v>135</v>
      </c>
      <c r="L172" s="17" t="s">
        <v>19</v>
      </c>
      <c r="M172" s="17" t="s">
        <v>55</v>
      </c>
    </row>
    <row r="173" spans="1:13">
      <c r="A173" s="17" t="s">
        <v>211</v>
      </c>
      <c r="B173" s="17" t="s">
        <v>34</v>
      </c>
      <c r="C173" s="19">
        <v>45400</v>
      </c>
      <c r="D173" s="17" t="s">
        <v>16</v>
      </c>
      <c r="E173" s="17" t="s">
        <v>22</v>
      </c>
      <c r="F173" s="17">
        <v>4023</v>
      </c>
      <c r="G173" s="17">
        <v>293</v>
      </c>
      <c r="H173" s="17">
        <v>91</v>
      </c>
      <c r="I173" s="17">
        <v>26795</v>
      </c>
      <c r="J173" s="17">
        <v>28924</v>
      </c>
      <c r="K173" s="17">
        <v>278</v>
      </c>
      <c r="L173" s="17" t="s">
        <v>370</v>
      </c>
      <c r="M173" s="17" t="s">
        <v>25</v>
      </c>
    </row>
    <row r="174" spans="1:13">
      <c r="A174" s="17" t="s">
        <v>212</v>
      </c>
      <c r="B174" s="17" t="s">
        <v>15</v>
      </c>
      <c r="C174" s="19">
        <v>45447</v>
      </c>
      <c r="D174" s="17" t="s">
        <v>16</v>
      </c>
      <c r="E174" s="17" t="s">
        <v>40</v>
      </c>
      <c r="F174" s="17">
        <v>3948</v>
      </c>
      <c r="G174" s="17">
        <v>151</v>
      </c>
      <c r="H174" s="17">
        <v>249</v>
      </c>
      <c r="I174" s="17">
        <v>43147</v>
      </c>
      <c r="J174" s="17">
        <v>63136</v>
      </c>
      <c r="K174" s="17">
        <v>230</v>
      </c>
      <c r="L174" s="17" t="s">
        <v>23</v>
      </c>
      <c r="M174" s="17" t="s">
        <v>25</v>
      </c>
    </row>
    <row r="175" spans="1:13">
      <c r="A175" s="17" t="s">
        <v>213</v>
      </c>
      <c r="B175" s="17" t="s">
        <v>34</v>
      </c>
      <c r="C175" s="19">
        <v>45749</v>
      </c>
      <c r="D175" s="17" t="s">
        <v>16</v>
      </c>
      <c r="E175" s="17" t="s">
        <v>32</v>
      </c>
      <c r="F175" s="17">
        <v>4598</v>
      </c>
      <c r="G175" s="17">
        <v>455</v>
      </c>
      <c r="H175" s="17">
        <v>378</v>
      </c>
      <c r="I175" s="17">
        <v>52952</v>
      </c>
      <c r="J175" s="17">
        <v>58504</v>
      </c>
      <c r="K175" s="17">
        <v>269</v>
      </c>
      <c r="L175" s="17" t="s">
        <v>370</v>
      </c>
      <c r="M175" s="17" t="s">
        <v>25</v>
      </c>
    </row>
    <row r="176" spans="1:13">
      <c r="A176" s="17" t="s">
        <v>214</v>
      </c>
      <c r="B176" s="17" t="s">
        <v>27</v>
      </c>
      <c r="C176" s="19">
        <v>45748</v>
      </c>
      <c r="D176" s="17" t="s">
        <v>28</v>
      </c>
      <c r="E176" s="17" t="s">
        <v>35</v>
      </c>
      <c r="F176" s="17">
        <v>2665</v>
      </c>
      <c r="G176" s="17">
        <v>143</v>
      </c>
      <c r="H176" s="17">
        <v>315</v>
      </c>
      <c r="I176" s="17">
        <v>54808</v>
      </c>
      <c r="J176" s="17">
        <v>29818</v>
      </c>
      <c r="K176" s="17">
        <v>98</v>
      </c>
      <c r="L176" s="17" t="s">
        <v>371</v>
      </c>
      <c r="M176" s="17" t="s">
        <v>20</v>
      </c>
    </row>
    <row r="177" spans="1:13">
      <c r="A177" s="17" t="s">
        <v>215</v>
      </c>
      <c r="B177" s="17" t="s">
        <v>15</v>
      </c>
      <c r="C177" s="19">
        <v>45475</v>
      </c>
      <c r="D177" s="17" t="s">
        <v>16</v>
      </c>
      <c r="E177" s="17" t="s">
        <v>43</v>
      </c>
      <c r="F177" s="17">
        <v>3469</v>
      </c>
      <c r="G177" s="17">
        <v>371</v>
      </c>
      <c r="H177" s="17">
        <v>76</v>
      </c>
      <c r="I177" s="17">
        <v>46493</v>
      </c>
      <c r="J177" s="17">
        <v>26906</v>
      </c>
      <c r="K177" s="17">
        <v>150</v>
      </c>
      <c r="L177" s="17" t="s">
        <v>368</v>
      </c>
      <c r="M177" s="17" t="s">
        <v>20</v>
      </c>
    </row>
    <row r="178" spans="1:13">
      <c r="A178" s="17" t="s">
        <v>216</v>
      </c>
      <c r="B178" s="17" t="s">
        <v>27</v>
      </c>
      <c r="C178" s="19">
        <v>45606</v>
      </c>
      <c r="D178" s="17" t="s">
        <v>16</v>
      </c>
      <c r="E178" s="17" t="s">
        <v>22</v>
      </c>
      <c r="F178" s="17">
        <v>4823</v>
      </c>
      <c r="G178" s="17">
        <v>489</v>
      </c>
      <c r="H178" s="17">
        <v>302</v>
      </c>
      <c r="I178" s="17">
        <v>32470</v>
      </c>
      <c r="J178" s="17">
        <v>31861</v>
      </c>
      <c r="K178" s="17">
        <v>178</v>
      </c>
      <c r="L178" s="17" t="s">
        <v>18</v>
      </c>
      <c r="M178" s="17" t="s">
        <v>25</v>
      </c>
    </row>
    <row r="179" spans="1:13">
      <c r="A179" s="17" t="s">
        <v>217</v>
      </c>
      <c r="B179" s="17" t="s">
        <v>15</v>
      </c>
      <c r="C179" s="19">
        <v>45640</v>
      </c>
      <c r="D179" s="17" t="s">
        <v>28</v>
      </c>
      <c r="E179" s="17" t="s">
        <v>49</v>
      </c>
      <c r="F179" s="17">
        <v>3812</v>
      </c>
      <c r="G179" s="17">
        <v>321</v>
      </c>
      <c r="H179" s="17">
        <v>289</v>
      </c>
      <c r="I179" s="17">
        <v>59838</v>
      </c>
      <c r="J179" s="17">
        <v>36337</v>
      </c>
      <c r="K179" s="17">
        <v>161</v>
      </c>
      <c r="L179" s="17" t="s">
        <v>19</v>
      </c>
      <c r="M179" s="17" t="s">
        <v>55</v>
      </c>
    </row>
    <row r="180" spans="1:13">
      <c r="A180" s="17" t="s">
        <v>218</v>
      </c>
      <c r="B180" s="17" t="s">
        <v>27</v>
      </c>
      <c r="C180" s="19">
        <v>45615</v>
      </c>
      <c r="D180" s="17" t="s">
        <v>16</v>
      </c>
      <c r="E180" s="17" t="s">
        <v>22</v>
      </c>
      <c r="F180" s="17">
        <v>2387</v>
      </c>
      <c r="G180" s="17">
        <v>353</v>
      </c>
      <c r="H180" s="17">
        <v>78</v>
      </c>
      <c r="I180" s="17">
        <v>39745</v>
      </c>
      <c r="J180" s="17">
        <v>69226</v>
      </c>
      <c r="K180" s="17">
        <v>208</v>
      </c>
      <c r="L180" s="17" t="s">
        <v>18</v>
      </c>
      <c r="M180" s="17" t="s">
        <v>25</v>
      </c>
    </row>
    <row r="181" spans="1:13">
      <c r="A181" s="17" t="s">
        <v>219</v>
      </c>
      <c r="B181" s="17" t="s">
        <v>27</v>
      </c>
      <c r="C181" s="19">
        <v>45777</v>
      </c>
      <c r="D181" s="17" t="s">
        <v>28</v>
      </c>
      <c r="E181" s="17" t="s">
        <v>32</v>
      </c>
      <c r="F181" s="17">
        <v>3929</v>
      </c>
      <c r="G181" s="17">
        <v>275</v>
      </c>
      <c r="H181" s="17">
        <v>330</v>
      </c>
      <c r="I181" s="17">
        <v>58329</v>
      </c>
      <c r="J181" s="17">
        <v>33196</v>
      </c>
      <c r="K181" s="17">
        <v>85</v>
      </c>
      <c r="L181" s="17" t="s">
        <v>369</v>
      </c>
      <c r="M181" s="17" t="s">
        <v>20</v>
      </c>
    </row>
    <row r="182" spans="1:13">
      <c r="A182" s="17" t="s">
        <v>220</v>
      </c>
      <c r="B182" s="17" t="s">
        <v>27</v>
      </c>
      <c r="C182" s="19">
        <v>45370</v>
      </c>
      <c r="D182" s="17" t="s">
        <v>16</v>
      </c>
      <c r="E182" s="17" t="s">
        <v>49</v>
      </c>
      <c r="F182" s="17">
        <v>2191</v>
      </c>
      <c r="G182" s="17">
        <v>288</v>
      </c>
      <c r="H182" s="17">
        <v>83</v>
      </c>
      <c r="I182" s="17">
        <v>59606</v>
      </c>
      <c r="J182" s="17">
        <v>24765</v>
      </c>
      <c r="K182" s="17">
        <v>281</v>
      </c>
      <c r="L182" s="17" t="s">
        <v>18</v>
      </c>
      <c r="M182" s="17" t="s">
        <v>25</v>
      </c>
    </row>
    <row r="183" spans="1:13">
      <c r="A183" s="17" t="s">
        <v>221</v>
      </c>
      <c r="B183" s="17" t="s">
        <v>15</v>
      </c>
      <c r="C183" s="19">
        <v>45370</v>
      </c>
      <c r="D183" s="17" t="s">
        <v>16</v>
      </c>
      <c r="E183" s="17" t="s">
        <v>49</v>
      </c>
      <c r="F183" s="17">
        <v>2878</v>
      </c>
      <c r="G183" s="17">
        <v>278</v>
      </c>
      <c r="H183" s="17">
        <v>255</v>
      </c>
      <c r="I183" s="17">
        <v>47235</v>
      </c>
      <c r="J183" s="17">
        <v>57922</v>
      </c>
      <c r="K183" s="17">
        <v>112</v>
      </c>
      <c r="L183" s="17" t="s">
        <v>368</v>
      </c>
      <c r="M183" s="17" t="s">
        <v>20</v>
      </c>
    </row>
    <row r="184" spans="1:13">
      <c r="A184" s="17" t="s">
        <v>222</v>
      </c>
      <c r="B184" s="17" t="s">
        <v>27</v>
      </c>
      <c r="C184" s="19">
        <v>45496</v>
      </c>
      <c r="D184" s="17" t="s">
        <v>16</v>
      </c>
      <c r="E184" s="17" t="s">
        <v>43</v>
      </c>
      <c r="F184" s="17">
        <v>3204</v>
      </c>
      <c r="G184" s="17">
        <v>398</v>
      </c>
      <c r="H184" s="17">
        <v>85</v>
      </c>
      <c r="I184" s="17">
        <v>22020</v>
      </c>
      <c r="J184" s="17">
        <v>58353</v>
      </c>
      <c r="K184" s="17">
        <v>286</v>
      </c>
      <c r="L184" s="17" t="s">
        <v>18</v>
      </c>
      <c r="M184" s="17" t="s">
        <v>25</v>
      </c>
    </row>
    <row r="185" spans="1:13">
      <c r="A185" s="17" t="s">
        <v>223</v>
      </c>
      <c r="B185" s="17" t="s">
        <v>27</v>
      </c>
      <c r="C185" s="19">
        <v>45486</v>
      </c>
      <c r="D185" s="17" t="s">
        <v>28</v>
      </c>
      <c r="E185" s="17" t="s">
        <v>40</v>
      </c>
      <c r="F185" s="17">
        <v>2408</v>
      </c>
      <c r="G185" s="17">
        <v>323</v>
      </c>
      <c r="H185" s="17">
        <v>251</v>
      </c>
      <c r="I185" s="17">
        <v>47599</v>
      </c>
      <c r="J185" s="17">
        <v>35543</v>
      </c>
      <c r="K185" s="17">
        <v>287</v>
      </c>
      <c r="L185" s="17" t="s">
        <v>369</v>
      </c>
      <c r="M185" s="17" t="s">
        <v>20</v>
      </c>
    </row>
    <row r="186" spans="1:13">
      <c r="A186" s="17" t="s">
        <v>224</v>
      </c>
      <c r="B186" s="17" t="s">
        <v>34</v>
      </c>
      <c r="C186" s="19">
        <v>45769</v>
      </c>
      <c r="D186" s="17" t="s">
        <v>57</v>
      </c>
      <c r="E186" s="17" t="s">
        <v>29</v>
      </c>
      <c r="F186" s="17">
        <v>2733</v>
      </c>
      <c r="G186" s="17">
        <v>297</v>
      </c>
      <c r="H186" s="17">
        <v>235</v>
      </c>
      <c r="I186" s="17">
        <v>37980</v>
      </c>
      <c r="J186" s="17">
        <v>33058</v>
      </c>
      <c r="K186" s="17">
        <v>219</v>
      </c>
      <c r="L186" s="17" t="s">
        <v>372</v>
      </c>
      <c r="M186" s="17" t="s">
        <v>58</v>
      </c>
    </row>
    <row r="187" spans="1:13">
      <c r="A187" s="17" t="s">
        <v>225</v>
      </c>
      <c r="B187" s="17" t="s">
        <v>27</v>
      </c>
      <c r="C187" s="19">
        <v>45459</v>
      </c>
      <c r="D187" s="17" t="s">
        <v>28</v>
      </c>
      <c r="E187" s="17" t="s">
        <v>22</v>
      </c>
      <c r="F187" s="17">
        <v>4618</v>
      </c>
      <c r="G187" s="17">
        <v>312</v>
      </c>
      <c r="H187" s="17">
        <v>254</v>
      </c>
      <c r="I187" s="17">
        <v>22571</v>
      </c>
      <c r="J187" s="17">
        <v>29453</v>
      </c>
      <c r="K187" s="17">
        <v>197</v>
      </c>
      <c r="L187" s="17" t="s">
        <v>369</v>
      </c>
      <c r="M187" s="17" t="s">
        <v>20</v>
      </c>
    </row>
    <row r="188" spans="1:13">
      <c r="A188" s="17" t="s">
        <v>226</v>
      </c>
      <c r="B188" s="17" t="s">
        <v>34</v>
      </c>
      <c r="C188" s="19">
        <v>45795</v>
      </c>
      <c r="D188" s="17" t="s">
        <v>57</v>
      </c>
      <c r="E188" s="17" t="s">
        <v>32</v>
      </c>
      <c r="F188" s="17">
        <v>4210</v>
      </c>
      <c r="G188" s="17">
        <v>319</v>
      </c>
      <c r="H188" s="17">
        <v>350</v>
      </c>
      <c r="I188" s="17">
        <v>37762</v>
      </c>
      <c r="J188" s="17">
        <v>55162</v>
      </c>
      <c r="K188" s="17">
        <v>204</v>
      </c>
      <c r="L188" s="17" t="s">
        <v>372</v>
      </c>
      <c r="M188" s="17" t="s">
        <v>58</v>
      </c>
    </row>
    <row r="189" spans="1:13">
      <c r="A189" s="17" t="s">
        <v>227</v>
      </c>
      <c r="B189" s="17" t="s">
        <v>15</v>
      </c>
      <c r="C189" s="19">
        <v>45814</v>
      </c>
      <c r="D189" s="17" t="s">
        <v>16</v>
      </c>
      <c r="E189" s="17" t="s">
        <v>32</v>
      </c>
      <c r="F189" s="17">
        <v>3987</v>
      </c>
      <c r="G189" s="17">
        <v>171</v>
      </c>
      <c r="H189" s="17">
        <v>274</v>
      </c>
      <c r="I189" s="17">
        <v>45122</v>
      </c>
      <c r="J189" s="17">
        <v>65431</v>
      </c>
      <c r="K189" s="17">
        <v>168</v>
      </c>
      <c r="L189" s="17" t="s">
        <v>23</v>
      </c>
      <c r="M189" s="17" t="s">
        <v>25</v>
      </c>
    </row>
    <row r="190" spans="1:13">
      <c r="A190" s="17" t="s">
        <v>228</v>
      </c>
      <c r="B190" s="17" t="s">
        <v>34</v>
      </c>
      <c r="C190" s="19">
        <v>45708</v>
      </c>
      <c r="D190" s="17" t="s">
        <v>57</v>
      </c>
      <c r="E190" s="17" t="s">
        <v>40</v>
      </c>
      <c r="F190" s="17">
        <v>4957</v>
      </c>
      <c r="G190" s="17">
        <v>262</v>
      </c>
      <c r="H190" s="17">
        <v>365</v>
      </c>
      <c r="I190" s="17">
        <v>49199</v>
      </c>
      <c r="J190" s="17">
        <v>40314</v>
      </c>
      <c r="K190" s="17">
        <v>216</v>
      </c>
      <c r="L190" s="17" t="s">
        <v>372</v>
      </c>
      <c r="M190" s="17" t="s">
        <v>58</v>
      </c>
    </row>
    <row r="191" spans="1:13">
      <c r="A191" s="17" t="s">
        <v>229</v>
      </c>
      <c r="B191" s="17" t="s">
        <v>15</v>
      </c>
      <c r="C191" s="19">
        <v>45673</v>
      </c>
      <c r="D191" s="17" t="s">
        <v>16</v>
      </c>
      <c r="E191" s="17" t="s">
        <v>35</v>
      </c>
      <c r="F191" s="17">
        <v>2605</v>
      </c>
      <c r="G191" s="17">
        <v>282</v>
      </c>
      <c r="H191" s="17">
        <v>148</v>
      </c>
      <c r="I191" s="17">
        <v>32201</v>
      </c>
      <c r="J191" s="17">
        <v>49583</v>
      </c>
      <c r="K191" s="17">
        <v>241</v>
      </c>
      <c r="L191" s="17" t="s">
        <v>368</v>
      </c>
      <c r="M191" s="17" t="s">
        <v>20</v>
      </c>
    </row>
    <row r="192" spans="1:13">
      <c r="A192" s="17" t="s">
        <v>230</v>
      </c>
      <c r="B192" s="17" t="s">
        <v>34</v>
      </c>
      <c r="C192" s="19">
        <v>45346</v>
      </c>
      <c r="D192" s="17" t="s">
        <v>57</v>
      </c>
      <c r="E192" s="17" t="s">
        <v>17</v>
      </c>
      <c r="F192" s="17">
        <v>4221</v>
      </c>
      <c r="G192" s="17">
        <v>307</v>
      </c>
      <c r="H192" s="17">
        <v>58</v>
      </c>
      <c r="I192" s="17">
        <v>45080</v>
      </c>
      <c r="J192" s="17">
        <v>37214</v>
      </c>
      <c r="K192" s="17">
        <v>240</v>
      </c>
      <c r="L192" s="17" t="s">
        <v>372</v>
      </c>
      <c r="M192" s="17" t="s">
        <v>58</v>
      </c>
    </row>
    <row r="193" spans="1:13">
      <c r="A193" s="17" t="s">
        <v>231</v>
      </c>
      <c r="B193" s="17" t="s">
        <v>27</v>
      </c>
      <c r="C193" s="19">
        <v>45551</v>
      </c>
      <c r="D193" s="17" t="s">
        <v>28</v>
      </c>
      <c r="E193" s="17" t="s">
        <v>38</v>
      </c>
      <c r="F193" s="17">
        <v>4422</v>
      </c>
      <c r="G193" s="17">
        <v>434</v>
      </c>
      <c r="H193" s="17">
        <v>156</v>
      </c>
      <c r="I193" s="17">
        <v>56165</v>
      </c>
      <c r="J193" s="17">
        <v>52431</v>
      </c>
      <c r="K193" s="17">
        <v>173</v>
      </c>
      <c r="L193" s="17" t="s">
        <v>371</v>
      </c>
      <c r="M193" s="17" t="s">
        <v>20</v>
      </c>
    </row>
    <row r="194" spans="1:13">
      <c r="A194" s="17" t="s">
        <v>232</v>
      </c>
      <c r="B194" s="17" t="s">
        <v>34</v>
      </c>
      <c r="C194" s="19">
        <v>45447</v>
      </c>
      <c r="D194" s="17" t="s">
        <v>57</v>
      </c>
      <c r="E194" s="17" t="s">
        <v>32</v>
      </c>
      <c r="F194" s="17">
        <v>1211</v>
      </c>
      <c r="G194" s="17">
        <v>431</v>
      </c>
      <c r="H194" s="17">
        <v>83</v>
      </c>
      <c r="I194" s="17">
        <v>26532</v>
      </c>
      <c r="J194" s="17">
        <v>47305</v>
      </c>
      <c r="K194" s="17">
        <v>232</v>
      </c>
      <c r="L194" s="17" t="s">
        <v>372</v>
      </c>
      <c r="M194" s="17" t="s">
        <v>58</v>
      </c>
    </row>
    <row r="195" spans="1:13">
      <c r="A195" s="17" t="s">
        <v>233</v>
      </c>
      <c r="B195" s="17" t="s">
        <v>27</v>
      </c>
      <c r="C195" s="19">
        <v>45422</v>
      </c>
      <c r="D195" s="17" t="s">
        <v>28</v>
      </c>
      <c r="E195" s="17" t="s">
        <v>22</v>
      </c>
      <c r="F195" s="17">
        <v>2784</v>
      </c>
      <c r="G195" s="17">
        <v>111</v>
      </c>
      <c r="H195" s="17">
        <v>399</v>
      </c>
      <c r="I195" s="17">
        <v>58366</v>
      </c>
      <c r="J195" s="17">
        <v>69512</v>
      </c>
      <c r="K195" s="17">
        <v>269</v>
      </c>
      <c r="L195" s="17" t="s">
        <v>369</v>
      </c>
      <c r="M195" s="17" t="s">
        <v>20</v>
      </c>
    </row>
    <row r="196" spans="1:13">
      <c r="A196" s="17" t="s">
        <v>234</v>
      </c>
      <c r="B196" s="17" t="s">
        <v>34</v>
      </c>
      <c r="C196" s="19">
        <v>45305</v>
      </c>
      <c r="D196" s="17" t="s">
        <v>16</v>
      </c>
      <c r="E196" s="17" t="s">
        <v>29</v>
      </c>
      <c r="F196" s="17">
        <v>3634</v>
      </c>
      <c r="G196" s="17">
        <v>280</v>
      </c>
      <c r="H196" s="17">
        <v>399</v>
      </c>
      <c r="I196" s="17">
        <v>40256</v>
      </c>
      <c r="J196" s="17">
        <v>52605</v>
      </c>
      <c r="K196" s="17">
        <v>213</v>
      </c>
      <c r="L196" s="17" t="s">
        <v>370</v>
      </c>
      <c r="M196" s="17" t="s">
        <v>25</v>
      </c>
    </row>
    <row r="197" spans="1:13">
      <c r="A197" s="17" t="s">
        <v>235</v>
      </c>
      <c r="B197" s="17" t="s">
        <v>15</v>
      </c>
      <c r="C197" s="19">
        <v>45669</v>
      </c>
      <c r="D197" s="17" t="s">
        <v>16</v>
      </c>
      <c r="E197" s="17" t="s">
        <v>49</v>
      </c>
      <c r="F197" s="17">
        <v>1771</v>
      </c>
      <c r="G197" s="17">
        <v>487</v>
      </c>
      <c r="H197" s="17">
        <v>272</v>
      </c>
      <c r="I197" s="17">
        <v>48810</v>
      </c>
      <c r="J197" s="17">
        <v>48084</v>
      </c>
      <c r="K197" s="17">
        <v>272</v>
      </c>
      <c r="L197" s="17" t="s">
        <v>368</v>
      </c>
      <c r="M197" s="17" t="s">
        <v>20</v>
      </c>
    </row>
    <row r="198" spans="1:13">
      <c r="A198" s="17" t="s">
        <v>236</v>
      </c>
      <c r="B198" s="17" t="s">
        <v>34</v>
      </c>
      <c r="C198" s="19">
        <v>45634</v>
      </c>
      <c r="D198" s="17" t="s">
        <v>16</v>
      </c>
      <c r="E198" s="17" t="s">
        <v>43</v>
      </c>
      <c r="F198" s="17">
        <v>1424</v>
      </c>
      <c r="G198" s="17">
        <v>396</v>
      </c>
      <c r="H198" s="17">
        <v>312</v>
      </c>
      <c r="I198" s="17">
        <v>59517</v>
      </c>
      <c r="J198" s="17">
        <v>46102</v>
      </c>
      <c r="K198" s="17">
        <v>239</v>
      </c>
      <c r="L198" s="17" t="s">
        <v>370</v>
      </c>
      <c r="M198" s="17" t="s">
        <v>25</v>
      </c>
    </row>
    <row r="199" spans="1:13">
      <c r="A199" s="17" t="s">
        <v>237</v>
      </c>
      <c r="B199" s="17" t="s">
        <v>27</v>
      </c>
      <c r="C199" s="19">
        <v>45689</v>
      </c>
      <c r="D199" s="17" t="s">
        <v>28</v>
      </c>
      <c r="E199" s="17" t="s">
        <v>43</v>
      </c>
      <c r="F199" s="17">
        <v>1079</v>
      </c>
      <c r="G199" s="17">
        <v>265</v>
      </c>
      <c r="H199" s="17">
        <v>190</v>
      </c>
      <c r="I199" s="17">
        <v>43786</v>
      </c>
      <c r="J199" s="17">
        <v>72428</v>
      </c>
      <c r="K199" s="17">
        <v>222</v>
      </c>
      <c r="L199" s="17" t="s">
        <v>368</v>
      </c>
      <c r="M199" s="17" t="s">
        <v>20</v>
      </c>
    </row>
    <row r="200" spans="1:13">
      <c r="A200" s="17" t="s">
        <v>238</v>
      </c>
      <c r="B200" s="17" t="s">
        <v>27</v>
      </c>
      <c r="C200" s="19">
        <v>45484</v>
      </c>
      <c r="D200" s="17" t="s">
        <v>28</v>
      </c>
      <c r="E200" s="17" t="s">
        <v>40</v>
      </c>
      <c r="F200" s="17">
        <v>4247</v>
      </c>
      <c r="G200" s="17">
        <v>179</v>
      </c>
      <c r="H200" s="17">
        <v>175</v>
      </c>
      <c r="I200" s="17">
        <v>32991</v>
      </c>
      <c r="J200" s="17">
        <v>70120</v>
      </c>
      <c r="K200" s="17">
        <v>276</v>
      </c>
      <c r="L200" s="17" t="s">
        <v>368</v>
      </c>
      <c r="M200" s="17" t="s">
        <v>20</v>
      </c>
    </row>
    <row r="201" spans="1:13">
      <c r="A201" s="17" t="s">
        <v>239</v>
      </c>
      <c r="B201" s="17" t="s">
        <v>27</v>
      </c>
      <c r="C201" s="19">
        <v>45369</v>
      </c>
      <c r="D201" s="17" t="s">
        <v>16</v>
      </c>
      <c r="E201" s="17" t="s">
        <v>29</v>
      </c>
      <c r="F201" s="17">
        <v>2033</v>
      </c>
      <c r="G201" s="17">
        <v>420</v>
      </c>
      <c r="H201" s="17">
        <v>94</v>
      </c>
      <c r="I201" s="17">
        <v>56290</v>
      </c>
      <c r="J201" s="17">
        <v>57391</v>
      </c>
      <c r="K201" s="17">
        <v>196</v>
      </c>
      <c r="L201" s="17" t="s">
        <v>19</v>
      </c>
      <c r="M201" s="17" t="s">
        <v>20</v>
      </c>
    </row>
    <row r="202" spans="1:13">
      <c r="A202" s="17" t="s">
        <v>240</v>
      </c>
      <c r="B202" s="17" t="s">
        <v>27</v>
      </c>
      <c r="C202" s="19">
        <v>45547</v>
      </c>
      <c r="D202" s="17" t="s">
        <v>28</v>
      </c>
      <c r="E202" s="17" t="s">
        <v>32</v>
      </c>
      <c r="F202" s="17">
        <v>1839</v>
      </c>
      <c r="G202" s="17">
        <v>223</v>
      </c>
      <c r="H202" s="17">
        <v>171</v>
      </c>
      <c r="I202" s="17">
        <v>35459</v>
      </c>
      <c r="J202" s="17">
        <v>69988</v>
      </c>
      <c r="K202" s="17">
        <v>114</v>
      </c>
      <c r="L202" s="17" t="s">
        <v>369</v>
      </c>
      <c r="M202" s="17" t="s">
        <v>20</v>
      </c>
    </row>
    <row r="203" spans="1:13">
      <c r="A203" s="17" t="s">
        <v>241</v>
      </c>
      <c r="B203" s="17" t="s">
        <v>27</v>
      </c>
      <c r="C203" s="19">
        <v>45302</v>
      </c>
      <c r="D203" s="17" t="s">
        <v>28</v>
      </c>
      <c r="E203" s="17" t="s">
        <v>32</v>
      </c>
      <c r="F203" s="17">
        <v>2340</v>
      </c>
      <c r="G203" s="17">
        <v>141</v>
      </c>
      <c r="H203" s="17">
        <v>206</v>
      </c>
      <c r="I203" s="17">
        <v>24916</v>
      </c>
      <c r="J203" s="17">
        <v>30582</v>
      </c>
      <c r="K203" s="17">
        <v>157</v>
      </c>
      <c r="L203" s="17" t="s">
        <v>368</v>
      </c>
      <c r="M203" s="17" t="s">
        <v>20</v>
      </c>
    </row>
    <row r="204" spans="1:13">
      <c r="A204" s="17" t="s">
        <v>242</v>
      </c>
      <c r="B204" s="17" t="s">
        <v>15</v>
      </c>
      <c r="C204" s="19">
        <v>45571</v>
      </c>
      <c r="D204" s="17" t="s">
        <v>16</v>
      </c>
      <c r="E204" s="17" t="s">
        <v>43</v>
      </c>
      <c r="F204" s="17">
        <v>2080</v>
      </c>
      <c r="G204" s="17">
        <v>389</v>
      </c>
      <c r="H204" s="17">
        <v>92</v>
      </c>
      <c r="I204" s="17">
        <v>30971</v>
      </c>
      <c r="J204" s="17">
        <v>25347</v>
      </c>
      <c r="K204" s="17">
        <v>111</v>
      </c>
      <c r="L204" s="17" t="s">
        <v>23</v>
      </c>
      <c r="M204" s="17" t="s">
        <v>25</v>
      </c>
    </row>
    <row r="205" spans="1:13">
      <c r="A205" s="17" t="s">
        <v>243</v>
      </c>
      <c r="B205" s="17" t="s">
        <v>27</v>
      </c>
      <c r="C205" s="19">
        <v>45656</v>
      </c>
      <c r="D205" s="17" t="s">
        <v>16</v>
      </c>
      <c r="E205" s="17" t="s">
        <v>40</v>
      </c>
      <c r="F205" s="17">
        <v>4214</v>
      </c>
      <c r="G205" s="17">
        <v>286</v>
      </c>
      <c r="H205" s="17">
        <v>127</v>
      </c>
      <c r="I205" s="17">
        <v>47293</v>
      </c>
      <c r="J205" s="17">
        <v>27184</v>
      </c>
      <c r="K205" s="17">
        <v>232</v>
      </c>
      <c r="L205" s="17" t="s">
        <v>19</v>
      </c>
      <c r="M205" s="17" t="s">
        <v>20</v>
      </c>
    </row>
    <row r="206" spans="1:13">
      <c r="A206" s="17" t="s">
        <v>244</v>
      </c>
      <c r="B206" s="17" t="s">
        <v>27</v>
      </c>
      <c r="C206" s="19">
        <v>45763</v>
      </c>
      <c r="D206" s="17" t="s">
        <v>16</v>
      </c>
      <c r="E206" s="17" t="s">
        <v>32</v>
      </c>
      <c r="F206" s="17">
        <v>3792</v>
      </c>
      <c r="G206" s="17">
        <v>315</v>
      </c>
      <c r="H206" s="17">
        <v>120</v>
      </c>
      <c r="I206" s="17">
        <v>54592</v>
      </c>
      <c r="J206" s="17">
        <v>67886</v>
      </c>
      <c r="K206" s="17">
        <v>117</v>
      </c>
      <c r="L206" s="17" t="s">
        <v>18</v>
      </c>
      <c r="M206" s="17" t="s">
        <v>25</v>
      </c>
    </row>
    <row r="207" spans="1:13">
      <c r="A207" s="17" t="s">
        <v>245</v>
      </c>
      <c r="B207" s="17" t="s">
        <v>27</v>
      </c>
      <c r="C207" s="19">
        <v>45525</v>
      </c>
      <c r="D207" s="17" t="s">
        <v>28</v>
      </c>
      <c r="E207" s="17" t="s">
        <v>22</v>
      </c>
      <c r="F207" s="17">
        <v>3989</v>
      </c>
      <c r="G207" s="17">
        <v>476</v>
      </c>
      <c r="H207" s="17">
        <v>128</v>
      </c>
      <c r="I207" s="17">
        <v>57569</v>
      </c>
      <c r="J207" s="17">
        <v>40193</v>
      </c>
      <c r="K207" s="17">
        <v>222</v>
      </c>
      <c r="L207" s="17" t="s">
        <v>371</v>
      </c>
      <c r="M207" s="17" t="s">
        <v>20</v>
      </c>
    </row>
    <row r="208" spans="1:13">
      <c r="A208" s="17" t="s">
        <v>246</v>
      </c>
      <c r="B208" s="17" t="s">
        <v>27</v>
      </c>
      <c r="C208" s="19">
        <v>45387</v>
      </c>
      <c r="D208" s="17" t="s">
        <v>28</v>
      </c>
      <c r="E208" s="17" t="s">
        <v>32</v>
      </c>
      <c r="F208" s="17">
        <v>2857</v>
      </c>
      <c r="G208" s="17">
        <v>443</v>
      </c>
      <c r="H208" s="17">
        <v>359</v>
      </c>
      <c r="I208" s="17">
        <v>51519</v>
      </c>
      <c r="J208" s="17">
        <v>28256</v>
      </c>
      <c r="K208" s="17">
        <v>155</v>
      </c>
      <c r="L208" s="17" t="s">
        <v>368</v>
      </c>
      <c r="M208" s="17" t="s">
        <v>20</v>
      </c>
    </row>
    <row r="209" spans="1:13">
      <c r="A209" s="17" t="s">
        <v>247</v>
      </c>
      <c r="B209" s="17" t="s">
        <v>27</v>
      </c>
      <c r="C209" s="19">
        <v>45754</v>
      </c>
      <c r="D209" s="17" t="s">
        <v>16</v>
      </c>
      <c r="E209" s="17" t="s">
        <v>49</v>
      </c>
      <c r="F209" s="17">
        <v>1403</v>
      </c>
      <c r="G209" s="17">
        <v>385</v>
      </c>
      <c r="H209" s="17">
        <v>344</v>
      </c>
      <c r="I209" s="17">
        <v>54223</v>
      </c>
      <c r="J209" s="17">
        <v>72595</v>
      </c>
      <c r="K209" s="17">
        <v>239</v>
      </c>
      <c r="L209" s="17" t="s">
        <v>18</v>
      </c>
      <c r="M209" s="17" t="s">
        <v>25</v>
      </c>
    </row>
    <row r="210" spans="1:13">
      <c r="A210" s="17" t="s">
        <v>248</v>
      </c>
      <c r="B210" s="17" t="s">
        <v>27</v>
      </c>
      <c r="C210" s="19">
        <v>45492</v>
      </c>
      <c r="D210" s="17" t="s">
        <v>28</v>
      </c>
      <c r="E210" s="17" t="s">
        <v>38</v>
      </c>
      <c r="F210" s="17">
        <v>3071</v>
      </c>
      <c r="G210" s="17">
        <v>126</v>
      </c>
      <c r="H210" s="17">
        <v>200</v>
      </c>
      <c r="I210" s="17">
        <v>44013</v>
      </c>
      <c r="J210" s="17">
        <v>44679</v>
      </c>
      <c r="K210" s="17">
        <v>118</v>
      </c>
      <c r="L210" s="17" t="s">
        <v>371</v>
      </c>
      <c r="M210" s="17" t="s">
        <v>20</v>
      </c>
    </row>
    <row r="211" spans="1:13">
      <c r="A211" s="17" t="s">
        <v>249</v>
      </c>
      <c r="B211" s="17" t="s">
        <v>27</v>
      </c>
      <c r="C211" s="19">
        <v>45780</v>
      </c>
      <c r="D211" s="17" t="s">
        <v>28</v>
      </c>
      <c r="E211" s="17" t="s">
        <v>43</v>
      </c>
      <c r="F211" s="17">
        <v>1010</v>
      </c>
      <c r="G211" s="17">
        <v>361</v>
      </c>
      <c r="H211" s="17">
        <v>240</v>
      </c>
      <c r="I211" s="17">
        <v>47229</v>
      </c>
      <c r="J211" s="17">
        <v>72573</v>
      </c>
      <c r="K211" s="17">
        <v>275</v>
      </c>
      <c r="L211" s="17" t="s">
        <v>368</v>
      </c>
      <c r="M211" s="17" t="s">
        <v>20</v>
      </c>
    </row>
    <row r="212" spans="1:13">
      <c r="A212" s="17" t="s">
        <v>250</v>
      </c>
      <c r="B212" s="17" t="s">
        <v>27</v>
      </c>
      <c r="C212" s="19">
        <v>45396</v>
      </c>
      <c r="D212" s="17" t="s">
        <v>28</v>
      </c>
      <c r="E212" s="17" t="s">
        <v>17</v>
      </c>
      <c r="F212" s="17">
        <v>1295</v>
      </c>
      <c r="G212" s="17">
        <v>153</v>
      </c>
      <c r="H212" s="17">
        <v>81</v>
      </c>
      <c r="I212" s="17">
        <v>48350</v>
      </c>
      <c r="J212" s="17">
        <v>61033</v>
      </c>
      <c r="K212" s="17">
        <v>232</v>
      </c>
      <c r="L212" s="17" t="s">
        <v>371</v>
      </c>
      <c r="M212" s="17" t="s">
        <v>20</v>
      </c>
    </row>
    <row r="213" spans="1:13">
      <c r="A213" s="17" t="s">
        <v>251</v>
      </c>
      <c r="B213" s="17" t="s">
        <v>27</v>
      </c>
      <c r="C213" s="19">
        <v>45827</v>
      </c>
      <c r="D213" s="17" t="s">
        <v>28</v>
      </c>
      <c r="E213" s="17" t="s">
        <v>38</v>
      </c>
      <c r="F213" s="17">
        <v>1433</v>
      </c>
      <c r="G213" s="17">
        <v>452</v>
      </c>
      <c r="H213" s="17">
        <v>305</v>
      </c>
      <c r="I213" s="17">
        <v>54541</v>
      </c>
      <c r="J213" s="17">
        <v>63700</v>
      </c>
      <c r="K213" s="17">
        <v>296</v>
      </c>
      <c r="L213" s="17" t="s">
        <v>371</v>
      </c>
      <c r="M213" s="17" t="s">
        <v>20</v>
      </c>
    </row>
    <row r="214" spans="1:13">
      <c r="A214" s="17" t="s">
        <v>252</v>
      </c>
      <c r="B214" s="17" t="s">
        <v>15</v>
      </c>
      <c r="C214" s="19">
        <v>45832</v>
      </c>
      <c r="D214" s="17" t="s">
        <v>28</v>
      </c>
      <c r="E214" s="17" t="s">
        <v>40</v>
      </c>
      <c r="F214" s="17">
        <v>4902</v>
      </c>
      <c r="G214" s="17">
        <v>422</v>
      </c>
      <c r="H214" s="17">
        <v>376</v>
      </c>
      <c r="I214" s="17">
        <v>31674</v>
      </c>
      <c r="J214" s="17">
        <v>53225</v>
      </c>
      <c r="K214" s="17">
        <v>147</v>
      </c>
      <c r="L214" s="17" t="s">
        <v>19</v>
      </c>
      <c r="M214" s="17" t="s">
        <v>55</v>
      </c>
    </row>
    <row r="215" spans="1:13">
      <c r="A215" s="17" t="s">
        <v>253</v>
      </c>
      <c r="B215" s="17" t="s">
        <v>27</v>
      </c>
      <c r="C215" s="19">
        <v>45574</v>
      </c>
      <c r="D215" s="17" t="s">
        <v>16</v>
      </c>
      <c r="E215" s="17" t="s">
        <v>32</v>
      </c>
      <c r="F215" s="17">
        <v>2659</v>
      </c>
      <c r="G215" s="17">
        <v>167</v>
      </c>
      <c r="H215" s="17">
        <v>73</v>
      </c>
      <c r="I215" s="17">
        <v>23090</v>
      </c>
      <c r="J215" s="17">
        <v>25872</v>
      </c>
      <c r="K215" s="17">
        <v>293</v>
      </c>
      <c r="L215" s="17" t="s">
        <v>18</v>
      </c>
      <c r="M215" s="17" t="s">
        <v>25</v>
      </c>
    </row>
    <row r="216" spans="1:13">
      <c r="A216" s="17" t="s">
        <v>254</v>
      </c>
      <c r="B216" s="17" t="s">
        <v>34</v>
      </c>
      <c r="C216" s="19">
        <v>45672</v>
      </c>
      <c r="D216" s="17" t="s">
        <v>16</v>
      </c>
      <c r="E216" s="17" t="s">
        <v>51</v>
      </c>
      <c r="F216" s="17">
        <v>2599</v>
      </c>
      <c r="G216" s="17">
        <v>324</v>
      </c>
      <c r="H216" s="17">
        <v>182</v>
      </c>
      <c r="I216" s="17">
        <v>37525</v>
      </c>
      <c r="J216" s="17">
        <v>37216</v>
      </c>
      <c r="K216" s="17">
        <v>186</v>
      </c>
      <c r="L216" s="17" t="s">
        <v>370</v>
      </c>
      <c r="M216" s="17" t="s">
        <v>25</v>
      </c>
    </row>
    <row r="217" spans="1:13">
      <c r="A217" s="17" t="s">
        <v>255</v>
      </c>
      <c r="B217" s="17" t="s">
        <v>27</v>
      </c>
      <c r="C217" s="19">
        <v>45669</v>
      </c>
      <c r="D217" s="17" t="s">
        <v>16</v>
      </c>
      <c r="E217" s="17" t="s">
        <v>35</v>
      </c>
      <c r="F217" s="17">
        <v>1765</v>
      </c>
      <c r="G217" s="17">
        <v>285</v>
      </c>
      <c r="H217" s="17">
        <v>100</v>
      </c>
      <c r="I217" s="17">
        <v>41313</v>
      </c>
      <c r="J217" s="17">
        <v>56575</v>
      </c>
      <c r="K217" s="17">
        <v>174</v>
      </c>
      <c r="L217" s="17" t="s">
        <v>18</v>
      </c>
      <c r="M217" s="17" t="s">
        <v>25</v>
      </c>
    </row>
    <row r="218" spans="1:13">
      <c r="A218" s="17" t="s">
        <v>256</v>
      </c>
      <c r="B218" s="17" t="s">
        <v>15</v>
      </c>
      <c r="C218" s="19">
        <v>45808</v>
      </c>
      <c r="D218" s="17" t="s">
        <v>16</v>
      </c>
      <c r="E218" s="17" t="s">
        <v>38</v>
      </c>
      <c r="F218" s="17">
        <v>2169</v>
      </c>
      <c r="G218" s="17">
        <v>240</v>
      </c>
      <c r="H218" s="17">
        <v>57</v>
      </c>
      <c r="I218" s="17">
        <v>26109</v>
      </c>
      <c r="J218" s="17">
        <v>46667</v>
      </c>
      <c r="K218" s="17">
        <v>133</v>
      </c>
      <c r="L218" s="17" t="s">
        <v>368</v>
      </c>
      <c r="M218" s="17" t="s">
        <v>20</v>
      </c>
    </row>
    <row r="219" spans="1:13">
      <c r="A219" s="17" t="s">
        <v>257</v>
      </c>
      <c r="B219" s="17" t="s">
        <v>27</v>
      </c>
      <c r="C219" s="19">
        <v>45579</v>
      </c>
      <c r="D219" s="17" t="s">
        <v>28</v>
      </c>
      <c r="E219" s="17" t="s">
        <v>22</v>
      </c>
      <c r="F219" s="17">
        <v>4303</v>
      </c>
      <c r="G219" s="17">
        <v>306</v>
      </c>
      <c r="H219" s="17">
        <v>302</v>
      </c>
      <c r="I219" s="17">
        <v>39575</v>
      </c>
      <c r="J219" s="17">
        <v>33762</v>
      </c>
      <c r="K219" s="17">
        <v>265</v>
      </c>
      <c r="L219" s="17" t="s">
        <v>371</v>
      </c>
      <c r="M219" s="17" t="s">
        <v>20</v>
      </c>
    </row>
    <row r="220" spans="1:13">
      <c r="A220" s="17" t="s">
        <v>258</v>
      </c>
      <c r="B220" s="17" t="s">
        <v>27</v>
      </c>
      <c r="C220" s="19">
        <v>45332</v>
      </c>
      <c r="D220" s="17" t="s">
        <v>16</v>
      </c>
      <c r="E220" s="17" t="s">
        <v>49</v>
      </c>
      <c r="F220" s="17">
        <v>1519</v>
      </c>
      <c r="G220" s="17">
        <v>456</v>
      </c>
      <c r="H220" s="17">
        <v>379</v>
      </c>
      <c r="I220" s="17">
        <v>51611</v>
      </c>
      <c r="J220" s="17">
        <v>45880</v>
      </c>
      <c r="K220" s="17">
        <v>176</v>
      </c>
      <c r="L220" s="17" t="s">
        <v>18</v>
      </c>
      <c r="M220" s="17" t="s">
        <v>25</v>
      </c>
    </row>
    <row r="221" spans="1:13">
      <c r="A221" s="17" t="s">
        <v>259</v>
      </c>
      <c r="B221" s="17" t="s">
        <v>34</v>
      </c>
      <c r="C221" s="19">
        <v>45636</v>
      </c>
      <c r="D221" s="17" t="s">
        <v>16</v>
      </c>
      <c r="E221" s="17" t="s">
        <v>38</v>
      </c>
      <c r="F221" s="17">
        <v>2569</v>
      </c>
      <c r="G221" s="17">
        <v>140</v>
      </c>
      <c r="H221" s="17">
        <v>375</v>
      </c>
      <c r="I221" s="17">
        <v>38372</v>
      </c>
      <c r="J221" s="17">
        <v>22102</v>
      </c>
      <c r="K221" s="17">
        <v>255</v>
      </c>
      <c r="L221" s="17" t="s">
        <v>370</v>
      </c>
      <c r="M221" s="17" t="s">
        <v>25</v>
      </c>
    </row>
    <row r="222" spans="1:13">
      <c r="A222" s="17" t="s">
        <v>260</v>
      </c>
      <c r="B222" s="17" t="s">
        <v>27</v>
      </c>
      <c r="C222" s="19">
        <v>45786</v>
      </c>
      <c r="D222" s="17" t="s">
        <v>28</v>
      </c>
      <c r="E222" s="17" t="s">
        <v>35</v>
      </c>
      <c r="F222" s="17">
        <v>2778</v>
      </c>
      <c r="G222" s="17">
        <v>241</v>
      </c>
      <c r="H222" s="17">
        <v>317</v>
      </c>
      <c r="I222" s="17">
        <v>26247</v>
      </c>
      <c r="J222" s="17">
        <v>20677</v>
      </c>
      <c r="K222" s="17">
        <v>282</v>
      </c>
      <c r="L222" s="17" t="s">
        <v>369</v>
      </c>
      <c r="M222" s="17" t="s">
        <v>20</v>
      </c>
    </row>
    <row r="223" spans="1:13">
      <c r="A223" s="17" t="s">
        <v>261</v>
      </c>
      <c r="B223" s="17" t="s">
        <v>27</v>
      </c>
      <c r="C223" s="19">
        <v>45829</v>
      </c>
      <c r="D223" s="17" t="s">
        <v>16</v>
      </c>
      <c r="E223" s="17" t="s">
        <v>22</v>
      </c>
      <c r="F223" s="17">
        <v>3611</v>
      </c>
      <c r="G223" s="17">
        <v>127</v>
      </c>
      <c r="H223" s="17">
        <v>139</v>
      </c>
      <c r="I223" s="17">
        <v>44768</v>
      </c>
      <c r="J223" s="17">
        <v>29435</v>
      </c>
      <c r="K223" s="17">
        <v>178</v>
      </c>
      <c r="L223" s="17" t="s">
        <v>19</v>
      </c>
      <c r="M223" s="17" t="s">
        <v>20</v>
      </c>
    </row>
    <row r="224" spans="1:13">
      <c r="A224" s="17" t="s">
        <v>262</v>
      </c>
      <c r="B224" s="17" t="s">
        <v>27</v>
      </c>
      <c r="C224" s="19">
        <v>45462</v>
      </c>
      <c r="D224" s="17" t="s">
        <v>16</v>
      </c>
      <c r="E224" s="17" t="s">
        <v>38</v>
      </c>
      <c r="F224" s="17">
        <v>1224</v>
      </c>
      <c r="G224" s="17">
        <v>168</v>
      </c>
      <c r="H224" s="17">
        <v>199</v>
      </c>
      <c r="I224" s="17">
        <v>54232</v>
      </c>
      <c r="J224" s="17">
        <v>52844</v>
      </c>
      <c r="K224" s="17">
        <v>271</v>
      </c>
      <c r="L224" s="17" t="s">
        <v>18</v>
      </c>
      <c r="M224" s="17" t="s">
        <v>25</v>
      </c>
    </row>
    <row r="225" spans="1:13">
      <c r="A225" s="17" t="s">
        <v>263</v>
      </c>
      <c r="B225" s="17" t="s">
        <v>27</v>
      </c>
      <c r="C225" s="19">
        <v>45636</v>
      </c>
      <c r="D225" s="17" t="s">
        <v>16</v>
      </c>
      <c r="E225" s="17" t="s">
        <v>49</v>
      </c>
      <c r="F225" s="17">
        <v>4673</v>
      </c>
      <c r="G225" s="17">
        <v>270</v>
      </c>
      <c r="H225" s="17">
        <v>93</v>
      </c>
      <c r="I225" s="17">
        <v>45260</v>
      </c>
      <c r="J225" s="17">
        <v>57513</v>
      </c>
      <c r="K225" s="17">
        <v>103</v>
      </c>
      <c r="L225" s="17" t="s">
        <v>19</v>
      </c>
      <c r="M225" s="17" t="s">
        <v>20</v>
      </c>
    </row>
    <row r="226" spans="1:13">
      <c r="A226" s="17" t="s">
        <v>264</v>
      </c>
      <c r="B226" s="17" t="s">
        <v>34</v>
      </c>
      <c r="C226" s="19">
        <v>45323</v>
      </c>
      <c r="D226" s="17" t="s">
        <v>16</v>
      </c>
      <c r="E226" s="17" t="s">
        <v>32</v>
      </c>
      <c r="F226" s="17">
        <v>1432</v>
      </c>
      <c r="G226" s="17">
        <v>437</v>
      </c>
      <c r="H226" s="17">
        <v>267</v>
      </c>
      <c r="I226" s="17">
        <v>40634</v>
      </c>
      <c r="J226" s="17">
        <v>54511</v>
      </c>
      <c r="K226" s="17">
        <v>197</v>
      </c>
      <c r="L226" s="17" t="s">
        <v>370</v>
      </c>
      <c r="M226" s="17" t="s">
        <v>25</v>
      </c>
    </row>
    <row r="227" spans="1:13">
      <c r="A227" s="17" t="s">
        <v>265</v>
      </c>
      <c r="B227" s="17" t="s">
        <v>27</v>
      </c>
      <c r="C227" s="19">
        <v>45308</v>
      </c>
      <c r="D227" s="17" t="s">
        <v>28</v>
      </c>
      <c r="E227" s="17" t="s">
        <v>29</v>
      </c>
      <c r="F227" s="17">
        <v>2174</v>
      </c>
      <c r="G227" s="17">
        <v>499</v>
      </c>
      <c r="H227" s="17">
        <v>212</v>
      </c>
      <c r="I227" s="17">
        <v>54938</v>
      </c>
      <c r="J227" s="17">
        <v>27190</v>
      </c>
      <c r="K227" s="17">
        <v>265</v>
      </c>
      <c r="L227" s="17" t="s">
        <v>369</v>
      </c>
      <c r="M227" s="17" t="s">
        <v>20</v>
      </c>
    </row>
    <row r="228" spans="1:13">
      <c r="A228" s="17" t="s">
        <v>266</v>
      </c>
      <c r="B228" s="17" t="s">
        <v>34</v>
      </c>
      <c r="C228" s="19">
        <v>45738</v>
      </c>
      <c r="D228" s="17" t="s">
        <v>16</v>
      </c>
      <c r="E228" s="17" t="s">
        <v>35</v>
      </c>
      <c r="F228" s="17">
        <v>4308</v>
      </c>
      <c r="G228" s="17">
        <v>171</v>
      </c>
      <c r="H228" s="17">
        <v>106</v>
      </c>
      <c r="I228" s="17">
        <v>36955</v>
      </c>
      <c r="J228" s="17">
        <v>23949</v>
      </c>
      <c r="K228" s="17">
        <v>294</v>
      </c>
      <c r="L228" s="17" t="s">
        <v>370</v>
      </c>
      <c r="M228" s="17" t="s">
        <v>25</v>
      </c>
    </row>
    <row r="229" spans="1:13">
      <c r="A229" s="17" t="s">
        <v>267</v>
      </c>
      <c r="B229" s="17" t="s">
        <v>34</v>
      </c>
      <c r="C229" s="19">
        <v>45442</v>
      </c>
      <c r="D229" s="17" t="s">
        <v>57</v>
      </c>
      <c r="E229" s="17" t="s">
        <v>38</v>
      </c>
      <c r="F229" s="17">
        <v>1060</v>
      </c>
      <c r="G229" s="17">
        <v>442</v>
      </c>
      <c r="H229" s="17">
        <v>319</v>
      </c>
      <c r="I229" s="17">
        <v>57194</v>
      </c>
      <c r="J229" s="17">
        <v>24258</v>
      </c>
      <c r="K229" s="17">
        <v>101</v>
      </c>
      <c r="L229" s="17" t="s">
        <v>372</v>
      </c>
      <c r="M229" s="17" t="s">
        <v>58</v>
      </c>
    </row>
    <row r="230" spans="1:13">
      <c r="A230" s="17" t="s">
        <v>268</v>
      </c>
      <c r="B230" s="17" t="s">
        <v>34</v>
      </c>
      <c r="C230" s="19">
        <v>45346</v>
      </c>
      <c r="D230" s="17" t="s">
        <v>16</v>
      </c>
      <c r="E230" s="17" t="s">
        <v>35</v>
      </c>
      <c r="F230" s="17">
        <v>4653</v>
      </c>
      <c r="G230" s="17">
        <v>226</v>
      </c>
      <c r="H230" s="17">
        <v>349</v>
      </c>
      <c r="I230" s="17">
        <v>56876</v>
      </c>
      <c r="J230" s="17">
        <v>28452</v>
      </c>
      <c r="K230" s="17">
        <v>257</v>
      </c>
      <c r="L230" s="17" t="s">
        <v>370</v>
      </c>
      <c r="M230" s="17" t="s">
        <v>25</v>
      </c>
    </row>
    <row r="231" spans="1:13">
      <c r="A231" s="17" t="s">
        <v>269</v>
      </c>
      <c r="B231" s="17" t="s">
        <v>34</v>
      </c>
      <c r="C231" s="19">
        <v>45791</v>
      </c>
      <c r="D231" s="17" t="s">
        <v>16</v>
      </c>
      <c r="E231" s="17" t="s">
        <v>17</v>
      </c>
      <c r="F231" s="17">
        <v>1701</v>
      </c>
      <c r="G231" s="17">
        <v>272</v>
      </c>
      <c r="H231" s="17">
        <v>385</v>
      </c>
      <c r="I231" s="17">
        <v>47496</v>
      </c>
      <c r="J231" s="17">
        <v>40832</v>
      </c>
      <c r="K231" s="17">
        <v>246</v>
      </c>
      <c r="L231" s="17" t="s">
        <v>370</v>
      </c>
      <c r="M231" s="17" t="s">
        <v>25</v>
      </c>
    </row>
    <row r="232" spans="1:13">
      <c r="A232" s="17" t="s">
        <v>270</v>
      </c>
      <c r="B232" s="17" t="s">
        <v>15</v>
      </c>
      <c r="C232" s="19">
        <v>45379</v>
      </c>
      <c r="D232" s="17" t="s">
        <v>16</v>
      </c>
      <c r="E232" s="17" t="s">
        <v>38</v>
      </c>
      <c r="F232" s="17">
        <v>1673</v>
      </c>
      <c r="G232" s="17">
        <v>280</v>
      </c>
      <c r="H232" s="17">
        <v>67</v>
      </c>
      <c r="I232" s="17">
        <v>29847</v>
      </c>
      <c r="J232" s="17">
        <v>48016</v>
      </c>
      <c r="K232" s="17">
        <v>213</v>
      </c>
      <c r="L232" s="17" t="s">
        <v>368</v>
      </c>
      <c r="M232" s="17" t="s">
        <v>20</v>
      </c>
    </row>
    <row r="233" spans="1:13">
      <c r="A233" s="17" t="s">
        <v>271</v>
      </c>
      <c r="B233" s="17" t="s">
        <v>34</v>
      </c>
      <c r="C233" s="19">
        <v>45723</v>
      </c>
      <c r="D233" s="17" t="s">
        <v>16</v>
      </c>
      <c r="E233" s="17" t="s">
        <v>43</v>
      </c>
      <c r="F233" s="17">
        <v>4310</v>
      </c>
      <c r="G233" s="17">
        <v>284</v>
      </c>
      <c r="H233" s="17">
        <v>306</v>
      </c>
      <c r="I233" s="17">
        <v>44606</v>
      </c>
      <c r="J233" s="17">
        <v>42604</v>
      </c>
      <c r="K233" s="17">
        <v>290</v>
      </c>
      <c r="L233" s="17" t="s">
        <v>370</v>
      </c>
      <c r="M233" s="17" t="s">
        <v>25</v>
      </c>
    </row>
    <row r="234" spans="1:13">
      <c r="A234" s="17" t="s">
        <v>272</v>
      </c>
      <c r="B234" s="17" t="s">
        <v>27</v>
      </c>
      <c r="C234" s="19">
        <v>45585</v>
      </c>
      <c r="D234" s="17" t="s">
        <v>16</v>
      </c>
      <c r="E234" s="17" t="s">
        <v>49</v>
      </c>
      <c r="F234" s="17">
        <v>2752</v>
      </c>
      <c r="G234" s="17">
        <v>309</v>
      </c>
      <c r="H234" s="17">
        <v>91</v>
      </c>
      <c r="I234" s="17">
        <v>39038</v>
      </c>
      <c r="J234" s="17">
        <v>28095</v>
      </c>
      <c r="K234" s="17">
        <v>277</v>
      </c>
      <c r="L234" s="17" t="s">
        <v>19</v>
      </c>
      <c r="M234" s="17" t="s">
        <v>20</v>
      </c>
    </row>
    <row r="235" spans="1:13">
      <c r="A235" s="17" t="s">
        <v>273</v>
      </c>
      <c r="B235" s="17" t="s">
        <v>27</v>
      </c>
      <c r="C235" s="19">
        <v>45324</v>
      </c>
      <c r="D235" s="17" t="s">
        <v>16</v>
      </c>
      <c r="E235" s="17" t="s">
        <v>49</v>
      </c>
      <c r="F235" s="17">
        <v>3818</v>
      </c>
      <c r="G235" s="17">
        <v>115</v>
      </c>
      <c r="H235" s="17">
        <v>286</v>
      </c>
      <c r="I235" s="17">
        <v>25127</v>
      </c>
      <c r="J235" s="17">
        <v>22277</v>
      </c>
      <c r="K235" s="17">
        <v>263</v>
      </c>
      <c r="L235" s="17" t="s">
        <v>19</v>
      </c>
      <c r="M235" s="17" t="s">
        <v>20</v>
      </c>
    </row>
    <row r="236" spans="1:13">
      <c r="A236" s="17" t="s">
        <v>274</v>
      </c>
      <c r="B236" s="17" t="s">
        <v>34</v>
      </c>
      <c r="C236" s="19">
        <v>45542</v>
      </c>
      <c r="D236" s="17" t="s">
        <v>16</v>
      </c>
      <c r="E236" s="17" t="s">
        <v>51</v>
      </c>
      <c r="F236" s="17">
        <v>2101</v>
      </c>
      <c r="G236" s="17">
        <v>411</v>
      </c>
      <c r="H236" s="17">
        <v>190</v>
      </c>
      <c r="I236" s="17">
        <v>41791</v>
      </c>
      <c r="J236" s="17">
        <v>57090</v>
      </c>
      <c r="K236" s="17">
        <v>172</v>
      </c>
      <c r="L236" s="17" t="s">
        <v>370</v>
      </c>
      <c r="M236" s="17" t="s">
        <v>25</v>
      </c>
    </row>
    <row r="237" spans="1:13">
      <c r="A237" s="17" t="s">
        <v>275</v>
      </c>
      <c r="B237" s="17" t="s">
        <v>15</v>
      </c>
      <c r="C237" s="19">
        <v>45646</v>
      </c>
      <c r="D237" s="17" t="s">
        <v>16</v>
      </c>
      <c r="E237" s="17" t="s">
        <v>17</v>
      </c>
      <c r="F237" s="17">
        <v>2519</v>
      </c>
      <c r="G237" s="17">
        <v>202</v>
      </c>
      <c r="H237" s="17">
        <v>239</v>
      </c>
      <c r="I237" s="17">
        <v>36245</v>
      </c>
      <c r="J237" s="17">
        <v>48606</v>
      </c>
      <c r="K237" s="17">
        <v>145</v>
      </c>
      <c r="L237" s="17" t="s">
        <v>23</v>
      </c>
      <c r="M237" s="17" t="s">
        <v>25</v>
      </c>
    </row>
    <row r="238" spans="1:13">
      <c r="A238" s="17" t="s">
        <v>276</v>
      </c>
      <c r="B238" s="17" t="s">
        <v>34</v>
      </c>
      <c r="C238" s="19">
        <v>45305</v>
      </c>
      <c r="D238" s="17" t="s">
        <v>16</v>
      </c>
      <c r="E238" s="17" t="s">
        <v>38</v>
      </c>
      <c r="F238" s="17">
        <v>4502</v>
      </c>
      <c r="G238" s="17">
        <v>238</v>
      </c>
      <c r="H238" s="17">
        <v>386</v>
      </c>
      <c r="I238" s="17">
        <v>39198</v>
      </c>
      <c r="J238" s="17">
        <v>25050</v>
      </c>
      <c r="K238" s="17">
        <v>297</v>
      </c>
      <c r="L238" s="17" t="s">
        <v>370</v>
      </c>
      <c r="M238" s="17" t="s">
        <v>25</v>
      </c>
    </row>
    <row r="239" spans="1:13">
      <c r="A239" s="17" t="s">
        <v>277</v>
      </c>
      <c r="B239" s="17" t="s">
        <v>15</v>
      </c>
      <c r="C239" s="19">
        <v>45823</v>
      </c>
      <c r="D239" s="17" t="s">
        <v>16</v>
      </c>
      <c r="E239" s="17" t="s">
        <v>22</v>
      </c>
      <c r="F239" s="17">
        <v>2478</v>
      </c>
      <c r="G239" s="17">
        <v>427</v>
      </c>
      <c r="H239" s="17">
        <v>242</v>
      </c>
      <c r="I239" s="17">
        <v>59272</v>
      </c>
      <c r="J239" s="17">
        <v>37833</v>
      </c>
      <c r="K239" s="17">
        <v>214</v>
      </c>
      <c r="L239" s="17" t="s">
        <v>368</v>
      </c>
      <c r="M239" s="17" t="s">
        <v>20</v>
      </c>
    </row>
    <row r="240" spans="1:13">
      <c r="A240" s="17" t="s">
        <v>278</v>
      </c>
      <c r="B240" s="17" t="s">
        <v>27</v>
      </c>
      <c r="C240" s="19">
        <v>45639</v>
      </c>
      <c r="D240" s="17" t="s">
        <v>28</v>
      </c>
      <c r="E240" s="17" t="s">
        <v>29</v>
      </c>
      <c r="F240" s="17">
        <v>4984</v>
      </c>
      <c r="G240" s="17">
        <v>300</v>
      </c>
      <c r="H240" s="17">
        <v>338</v>
      </c>
      <c r="I240" s="17">
        <v>32900</v>
      </c>
      <c r="J240" s="17">
        <v>31691</v>
      </c>
      <c r="K240" s="17">
        <v>160</v>
      </c>
      <c r="L240" s="17" t="s">
        <v>369</v>
      </c>
      <c r="M240" s="17" t="s">
        <v>20</v>
      </c>
    </row>
    <row r="241" spans="1:13">
      <c r="A241" s="17" t="s">
        <v>279</v>
      </c>
      <c r="B241" s="17" t="s">
        <v>34</v>
      </c>
      <c r="C241" s="19">
        <v>45533</v>
      </c>
      <c r="D241" s="17" t="s">
        <v>16</v>
      </c>
      <c r="E241" s="17" t="s">
        <v>32</v>
      </c>
      <c r="F241" s="17">
        <v>4774</v>
      </c>
      <c r="G241" s="17">
        <v>389</v>
      </c>
      <c r="H241" s="17">
        <v>358</v>
      </c>
      <c r="I241" s="17">
        <v>52346</v>
      </c>
      <c r="J241" s="17">
        <v>30518</v>
      </c>
      <c r="K241" s="17">
        <v>277</v>
      </c>
      <c r="L241" s="17" t="s">
        <v>370</v>
      </c>
      <c r="M241" s="17" t="s">
        <v>25</v>
      </c>
    </row>
    <row r="242" spans="1:13">
      <c r="A242" s="17" t="s">
        <v>280</v>
      </c>
      <c r="B242" s="17" t="s">
        <v>27</v>
      </c>
      <c r="C242" s="19">
        <v>45550</v>
      </c>
      <c r="D242" s="17" t="s">
        <v>16</v>
      </c>
      <c r="E242" s="17" t="s">
        <v>40</v>
      </c>
      <c r="F242" s="17">
        <v>2145</v>
      </c>
      <c r="G242" s="17">
        <v>340</v>
      </c>
      <c r="H242" s="17">
        <v>85</v>
      </c>
      <c r="I242" s="17">
        <v>53323</v>
      </c>
      <c r="J242" s="17">
        <v>49938</v>
      </c>
      <c r="K242" s="17">
        <v>104</v>
      </c>
      <c r="L242" s="17" t="s">
        <v>19</v>
      </c>
      <c r="M242" s="17" t="s">
        <v>20</v>
      </c>
    </row>
    <row r="243" spans="1:13">
      <c r="A243" s="17" t="s">
        <v>281</v>
      </c>
      <c r="B243" s="17" t="s">
        <v>27</v>
      </c>
      <c r="C243" s="19">
        <v>45759</v>
      </c>
      <c r="D243" s="17" t="s">
        <v>28</v>
      </c>
      <c r="E243" s="17" t="s">
        <v>49</v>
      </c>
      <c r="F243" s="17">
        <v>4315</v>
      </c>
      <c r="G243" s="17">
        <v>208</v>
      </c>
      <c r="H243" s="17">
        <v>273</v>
      </c>
      <c r="I243" s="17">
        <v>35780</v>
      </c>
      <c r="J243" s="17">
        <v>44349</v>
      </c>
      <c r="K243" s="17">
        <v>133</v>
      </c>
      <c r="L243" s="17" t="s">
        <v>371</v>
      </c>
      <c r="M243" s="17" t="s">
        <v>20</v>
      </c>
    </row>
    <row r="244" spans="1:13">
      <c r="A244" s="17" t="s">
        <v>282</v>
      </c>
      <c r="B244" s="17" t="s">
        <v>27</v>
      </c>
      <c r="C244" s="19">
        <v>45636</v>
      </c>
      <c r="D244" s="17" t="s">
        <v>28</v>
      </c>
      <c r="E244" s="17" t="s">
        <v>32</v>
      </c>
      <c r="F244" s="17">
        <v>2267</v>
      </c>
      <c r="G244" s="17">
        <v>230</v>
      </c>
      <c r="H244" s="17">
        <v>243</v>
      </c>
      <c r="I244" s="17">
        <v>27904</v>
      </c>
      <c r="J244" s="17">
        <v>69771</v>
      </c>
      <c r="K244" s="17">
        <v>255</v>
      </c>
      <c r="L244" s="17" t="s">
        <v>371</v>
      </c>
      <c r="M244" s="17" t="s">
        <v>20</v>
      </c>
    </row>
    <row r="245" spans="1:13">
      <c r="A245" s="17" t="s">
        <v>283</v>
      </c>
      <c r="B245" s="17" t="s">
        <v>34</v>
      </c>
      <c r="C245" s="19">
        <v>45816</v>
      </c>
      <c r="D245" s="17" t="s">
        <v>16</v>
      </c>
      <c r="E245" s="17" t="s">
        <v>35</v>
      </c>
      <c r="F245" s="17">
        <v>4375</v>
      </c>
      <c r="G245" s="17">
        <v>303</v>
      </c>
      <c r="H245" s="17">
        <v>294</v>
      </c>
      <c r="I245" s="17">
        <v>57468</v>
      </c>
      <c r="J245" s="17">
        <v>53397</v>
      </c>
      <c r="K245" s="17">
        <v>159</v>
      </c>
      <c r="L245" s="17" t="s">
        <v>370</v>
      </c>
      <c r="M245" s="17" t="s">
        <v>25</v>
      </c>
    </row>
    <row r="246" spans="1:13">
      <c r="A246" s="17" t="s">
        <v>284</v>
      </c>
      <c r="B246" s="17" t="s">
        <v>27</v>
      </c>
      <c r="C246" s="19">
        <v>45666</v>
      </c>
      <c r="D246" s="17" t="s">
        <v>28</v>
      </c>
      <c r="E246" s="17" t="s">
        <v>51</v>
      </c>
      <c r="F246" s="17">
        <v>3817</v>
      </c>
      <c r="G246" s="17">
        <v>284</v>
      </c>
      <c r="H246" s="17">
        <v>204</v>
      </c>
      <c r="I246" s="17">
        <v>46434</v>
      </c>
      <c r="J246" s="17">
        <v>53396</v>
      </c>
      <c r="K246" s="17">
        <v>104</v>
      </c>
      <c r="L246" s="17" t="s">
        <v>369</v>
      </c>
      <c r="M246" s="17" t="s">
        <v>20</v>
      </c>
    </row>
    <row r="247" spans="1:13">
      <c r="A247" s="17" t="s">
        <v>285</v>
      </c>
      <c r="B247" s="17" t="s">
        <v>27</v>
      </c>
      <c r="C247" s="19">
        <v>45481</v>
      </c>
      <c r="D247" s="17" t="s">
        <v>28</v>
      </c>
      <c r="E247" s="17" t="s">
        <v>43</v>
      </c>
      <c r="F247" s="17">
        <v>2981</v>
      </c>
      <c r="G247" s="17">
        <v>258</v>
      </c>
      <c r="H247" s="17">
        <v>168</v>
      </c>
      <c r="I247" s="17">
        <v>20677</v>
      </c>
      <c r="J247" s="17">
        <v>68290</v>
      </c>
      <c r="K247" s="17">
        <v>130</v>
      </c>
      <c r="L247" s="17" t="s">
        <v>368</v>
      </c>
      <c r="M247" s="17" t="s">
        <v>20</v>
      </c>
    </row>
    <row r="248" spans="1:13">
      <c r="A248" s="17" t="s">
        <v>286</v>
      </c>
      <c r="B248" s="17" t="s">
        <v>27</v>
      </c>
      <c r="C248" s="19">
        <v>45551</v>
      </c>
      <c r="D248" s="17" t="s">
        <v>28</v>
      </c>
      <c r="E248" s="17" t="s">
        <v>51</v>
      </c>
      <c r="F248" s="17">
        <v>3300</v>
      </c>
      <c r="G248" s="17">
        <v>354</v>
      </c>
      <c r="H248" s="17">
        <v>397</v>
      </c>
      <c r="I248" s="17">
        <v>56773</v>
      </c>
      <c r="J248" s="17">
        <v>72110</v>
      </c>
      <c r="K248" s="17">
        <v>163</v>
      </c>
      <c r="L248" s="17" t="s">
        <v>371</v>
      </c>
      <c r="M248" s="17" t="s">
        <v>20</v>
      </c>
    </row>
    <row r="249" spans="1:13">
      <c r="A249" s="17" t="s">
        <v>287</v>
      </c>
      <c r="B249" s="17" t="s">
        <v>34</v>
      </c>
      <c r="C249" s="19">
        <v>45457</v>
      </c>
      <c r="D249" s="17" t="s">
        <v>57</v>
      </c>
      <c r="E249" s="17" t="s">
        <v>32</v>
      </c>
      <c r="F249" s="17">
        <v>4722</v>
      </c>
      <c r="G249" s="17">
        <v>310</v>
      </c>
      <c r="H249" s="17">
        <v>344</v>
      </c>
      <c r="I249" s="17">
        <v>27911</v>
      </c>
      <c r="J249" s="17">
        <v>19000</v>
      </c>
      <c r="K249" s="17">
        <v>225</v>
      </c>
      <c r="L249" s="17" t="s">
        <v>372</v>
      </c>
      <c r="M249" s="17" t="s">
        <v>58</v>
      </c>
    </row>
    <row r="250" spans="1:13">
      <c r="A250" s="17" t="s">
        <v>288</v>
      </c>
      <c r="B250" s="17" t="s">
        <v>15</v>
      </c>
      <c r="C250" s="19">
        <v>45357</v>
      </c>
      <c r="D250" s="17" t="s">
        <v>16</v>
      </c>
      <c r="E250" s="17" t="s">
        <v>38</v>
      </c>
      <c r="F250" s="17">
        <v>3529</v>
      </c>
      <c r="G250" s="17">
        <v>263</v>
      </c>
      <c r="H250" s="17">
        <v>107</v>
      </c>
      <c r="I250" s="17">
        <v>26570</v>
      </c>
      <c r="J250" s="17">
        <v>19367</v>
      </c>
      <c r="K250" s="17">
        <v>96</v>
      </c>
      <c r="L250" s="17" t="s">
        <v>23</v>
      </c>
      <c r="M250" s="17" t="s">
        <v>25</v>
      </c>
    </row>
    <row r="251" spans="1:13">
      <c r="A251" s="17" t="s">
        <v>289</v>
      </c>
      <c r="B251" s="17" t="s">
        <v>27</v>
      </c>
      <c r="C251" s="19">
        <v>45792</v>
      </c>
      <c r="D251" s="17" t="s">
        <v>16</v>
      </c>
      <c r="E251" s="17" t="s">
        <v>51</v>
      </c>
      <c r="F251" s="17">
        <v>4782</v>
      </c>
      <c r="G251" s="17">
        <v>210</v>
      </c>
      <c r="H251" s="17">
        <v>311</v>
      </c>
      <c r="I251" s="17">
        <v>29793</v>
      </c>
      <c r="J251" s="17">
        <v>37543</v>
      </c>
      <c r="K251" s="17">
        <v>145</v>
      </c>
      <c r="L251" s="17" t="s">
        <v>19</v>
      </c>
      <c r="M251" s="17" t="s">
        <v>20</v>
      </c>
    </row>
    <row r="252" spans="1:13">
      <c r="A252" s="17" t="s">
        <v>290</v>
      </c>
      <c r="B252" s="17" t="s">
        <v>27</v>
      </c>
      <c r="C252" s="19">
        <v>45480</v>
      </c>
      <c r="D252" s="17" t="s">
        <v>16</v>
      </c>
      <c r="E252" s="17" t="s">
        <v>38</v>
      </c>
      <c r="F252" s="17">
        <v>1848</v>
      </c>
      <c r="G252" s="17">
        <v>417</v>
      </c>
      <c r="H252" s="17">
        <v>294</v>
      </c>
      <c r="I252" s="17">
        <v>57819</v>
      </c>
      <c r="J252" s="17">
        <v>19798</v>
      </c>
      <c r="K252" s="17">
        <v>262</v>
      </c>
      <c r="L252" s="17" t="s">
        <v>18</v>
      </c>
      <c r="M252" s="17" t="s">
        <v>25</v>
      </c>
    </row>
    <row r="253" spans="1:13">
      <c r="A253" s="17" t="s">
        <v>291</v>
      </c>
      <c r="B253" s="17" t="s">
        <v>34</v>
      </c>
      <c r="C253" s="19">
        <v>45591</v>
      </c>
      <c r="D253" s="17" t="s">
        <v>16</v>
      </c>
      <c r="E253" s="17" t="s">
        <v>29</v>
      </c>
      <c r="F253" s="17">
        <v>4676</v>
      </c>
      <c r="G253" s="17">
        <v>211</v>
      </c>
      <c r="H253" s="17">
        <v>55</v>
      </c>
      <c r="I253" s="17">
        <v>45917</v>
      </c>
      <c r="J253" s="17">
        <v>73503</v>
      </c>
      <c r="K253" s="17">
        <v>248</v>
      </c>
      <c r="L253" s="17" t="s">
        <v>370</v>
      </c>
      <c r="M253" s="17" t="s">
        <v>25</v>
      </c>
    </row>
    <row r="254" spans="1:13">
      <c r="A254" s="17" t="s">
        <v>292</v>
      </c>
      <c r="B254" s="17" t="s">
        <v>34</v>
      </c>
      <c r="C254" s="19">
        <v>45512</v>
      </c>
      <c r="D254" s="17" t="s">
        <v>16</v>
      </c>
      <c r="E254" s="17" t="s">
        <v>49</v>
      </c>
      <c r="F254" s="17">
        <v>1994</v>
      </c>
      <c r="G254" s="17">
        <v>197</v>
      </c>
      <c r="H254" s="17">
        <v>290</v>
      </c>
      <c r="I254" s="17">
        <v>49500</v>
      </c>
      <c r="J254" s="17">
        <v>23343</v>
      </c>
      <c r="K254" s="17">
        <v>160</v>
      </c>
      <c r="L254" s="17" t="s">
        <v>370</v>
      </c>
      <c r="M254" s="17" t="s">
        <v>25</v>
      </c>
    </row>
    <row r="255" spans="1:13">
      <c r="A255" s="17" t="s">
        <v>293</v>
      </c>
      <c r="B255" s="17" t="s">
        <v>27</v>
      </c>
      <c r="C255" s="19">
        <v>45691</v>
      </c>
      <c r="D255" s="17" t="s">
        <v>16</v>
      </c>
      <c r="E255" s="17" t="s">
        <v>38</v>
      </c>
      <c r="F255" s="17">
        <v>4995</v>
      </c>
      <c r="G255" s="17">
        <v>231</v>
      </c>
      <c r="H255" s="17">
        <v>94</v>
      </c>
      <c r="I255" s="17">
        <v>34431</v>
      </c>
      <c r="J255" s="17">
        <v>32560</v>
      </c>
      <c r="K255" s="17">
        <v>262</v>
      </c>
      <c r="L255" s="17" t="s">
        <v>19</v>
      </c>
      <c r="M255" s="17" t="s">
        <v>20</v>
      </c>
    </row>
    <row r="256" spans="1:13">
      <c r="A256" s="17" t="s">
        <v>294</v>
      </c>
      <c r="B256" s="17" t="s">
        <v>27</v>
      </c>
      <c r="C256" s="19">
        <v>45385</v>
      </c>
      <c r="D256" s="17" t="s">
        <v>28</v>
      </c>
      <c r="E256" s="17" t="s">
        <v>43</v>
      </c>
      <c r="F256" s="17">
        <v>2291</v>
      </c>
      <c r="G256" s="17">
        <v>146</v>
      </c>
      <c r="H256" s="17">
        <v>399</v>
      </c>
      <c r="I256" s="17">
        <v>49319</v>
      </c>
      <c r="J256" s="17">
        <v>28056</v>
      </c>
      <c r="K256" s="17">
        <v>90</v>
      </c>
      <c r="L256" s="17" t="s">
        <v>371</v>
      </c>
      <c r="M256" s="17" t="s">
        <v>20</v>
      </c>
    </row>
    <row r="257" spans="1:13">
      <c r="A257" s="17" t="s">
        <v>295</v>
      </c>
      <c r="B257" s="17" t="s">
        <v>27</v>
      </c>
      <c r="C257" s="19">
        <v>45481</v>
      </c>
      <c r="D257" s="17" t="s">
        <v>28</v>
      </c>
      <c r="E257" s="17" t="s">
        <v>32</v>
      </c>
      <c r="F257" s="17">
        <v>2304</v>
      </c>
      <c r="G257" s="17">
        <v>289</v>
      </c>
      <c r="H257" s="17">
        <v>161</v>
      </c>
      <c r="I257" s="17">
        <v>52645</v>
      </c>
      <c r="J257" s="17">
        <v>66262</v>
      </c>
      <c r="K257" s="17">
        <v>146</v>
      </c>
      <c r="L257" s="17" t="s">
        <v>369</v>
      </c>
      <c r="M257" s="17" t="s">
        <v>20</v>
      </c>
    </row>
    <row r="258" spans="1:13">
      <c r="A258" s="17" t="s">
        <v>296</v>
      </c>
      <c r="B258" s="17" t="s">
        <v>27</v>
      </c>
      <c r="C258" s="19">
        <v>45451</v>
      </c>
      <c r="D258" s="17" t="s">
        <v>28</v>
      </c>
      <c r="E258" s="17" t="s">
        <v>43</v>
      </c>
      <c r="F258" s="17">
        <v>3413</v>
      </c>
      <c r="G258" s="17">
        <v>326</v>
      </c>
      <c r="H258" s="17">
        <v>86</v>
      </c>
      <c r="I258" s="17">
        <v>44680</v>
      </c>
      <c r="J258" s="17">
        <v>52719</v>
      </c>
      <c r="K258" s="17">
        <v>272</v>
      </c>
      <c r="L258" s="17" t="s">
        <v>371</v>
      </c>
      <c r="M258" s="17" t="s">
        <v>20</v>
      </c>
    </row>
    <row r="259" spans="1:13">
      <c r="A259" s="17" t="s">
        <v>297</v>
      </c>
      <c r="B259" s="17" t="s">
        <v>34</v>
      </c>
      <c r="C259" s="19">
        <v>45736</v>
      </c>
      <c r="D259" s="17" t="s">
        <v>57</v>
      </c>
      <c r="E259" s="17" t="s">
        <v>49</v>
      </c>
      <c r="F259" s="17">
        <v>1453</v>
      </c>
      <c r="G259" s="17">
        <v>156</v>
      </c>
      <c r="H259" s="17">
        <v>178</v>
      </c>
      <c r="I259" s="17">
        <v>52980</v>
      </c>
      <c r="J259" s="17">
        <v>57180</v>
      </c>
      <c r="K259" s="17">
        <v>286</v>
      </c>
      <c r="L259" s="17" t="s">
        <v>372</v>
      </c>
      <c r="M259" s="17" t="s">
        <v>58</v>
      </c>
    </row>
    <row r="260" spans="1:13">
      <c r="A260" s="17" t="s">
        <v>298</v>
      </c>
      <c r="B260" s="17" t="s">
        <v>27</v>
      </c>
      <c r="C260" s="19">
        <v>45676</v>
      </c>
      <c r="D260" s="17" t="s">
        <v>28</v>
      </c>
      <c r="E260" s="17" t="s">
        <v>35</v>
      </c>
      <c r="F260" s="17">
        <v>1651</v>
      </c>
      <c r="G260" s="17">
        <v>480</v>
      </c>
      <c r="H260" s="17">
        <v>282</v>
      </c>
      <c r="I260" s="17">
        <v>32140</v>
      </c>
      <c r="J260" s="17">
        <v>70560</v>
      </c>
      <c r="K260" s="17">
        <v>138</v>
      </c>
      <c r="L260" s="17" t="s">
        <v>368</v>
      </c>
      <c r="M260" s="17" t="s">
        <v>20</v>
      </c>
    </row>
    <row r="261" spans="1:13">
      <c r="A261" s="17" t="s">
        <v>299</v>
      </c>
      <c r="B261" s="17" t="s">
        <v>27</v>
      </c>
      <c r="C261" s="19">
        <v>45662</v>
      </c>
      <c r="D261" s="17" t="s">
        <v>28</v>
      </c>
      <c r="E261" s="17" t="s">
        <v>22</v>
      </c>
      <c r="F261" s="17">
        <v>3341</v>
      </c>
      <c r="G261" s="17">
        <v>154</v>
      </c>
      <c r="H261" s="17">
        <v>123</v>
      </c>
      <c r="I261" s="17">
        <v>43369</v>
      </c>
      <c r="J261" s="17">
        <v>49035</v>
      </c>
      <c r="K261" s="17">
        <v>128</v>
      </c>
      <c r="L261" s="17" t="s">
        <v>369</v>
      </c>
      <c r="M261" s="17" t="s">
        <v>20</v>
      </c>
    </row>
    <row r="262" spans="1:13">
      <c r="A262" s="17" t="s">
        <v>300</v>
      </c>
      <c r="B262" s="17" t="s">
        <v>27</v>
      </c>
      <c r="C262" s="19">
        <v>45612</v>
      </c>
      <c r="D262" s="17" t="s">
        <v>16</v>
      </c>
      <c r="E262" s="17" t="s">
        <v>49</v>
      </c>
      <c r="F262" s="17">
        <v>2972</v>
      </c>
      <c r="G262" s="17">
        <v>263</v>
      </c>
      <c r="H262" s="17">
        <v>308</v>
      </c>
      <c r="I262" s="17">
        <v>51740</v>
      </c>
      <c r="J262" s="17">
        <v>28214</v>
      </c>
      <c r="K262" s="17">
        <v>190</v>
      </c>
      <c r="L262" s="17" t="s">
        <v>18</v>
      </c>
      <c r="M262" s="17" t="s">
        <v>25</v>
      </c>
    </row>
    <row r="263" spans="1:13">
      <c r="A263" s="17" t="s">
        <v>301</v>
      </c>
      <c r="B263" s="17" t="s">
        <v>27</v>
      </c>
      <c r="C263" s="19">
        <v>45626</v>
      </c>
      <c r="D263" s="17" t="s">
        <v>28</v>
      </c>
      <c r="E263" s="17" t="s">
        <v>22</v>
      </c>
      <c r="F263" s="17">
        <v>4963</v>
      </c>
      <c r="G263" s="17">
        <v>255</v>
      </c>
      <c r="H263" s="17">
        <v>193</v>
      </c>
      <c r="I263" s="17">
        <v>44386</v>
      </c>
      <c r="J263" s="17">
        <v>28415</v>
      </c>
      <c r="K263" s="17">
        <v>174</v>
      </c>
      <c r="L263" s="17" t="s">
        <v>369</v>
      </c>
      <c r="M263" s="17" t="s">
        <v>20</v>
      </c>
    </row>
    <row r="264" spans="1:13">
      <c r="A264" s="17" t="s">
        <v>302</v>
      </c>
      <c r="B264" s="17" t="s">
        <v>34</v>
      </c>
      <c r="C264" s="19">
        <v>45378</v>
      </c>
      <c r="D264" s="17" t="s">
        <v>16</v>
      </c>
      <c r="E264" s="17" t="s">
        <v>35</v>
      </c>
      <c r="F264" s="17">
        <v>2399</v>
      </c>
      <c r="G264" s="17">
        <v>191</v>
      </c>
      <c r="H264" s="17">
        <v>221</v>
      </c>
      <c r="I264" s="17">
        <v>51603</v>
      </c>
      <c r="J264" s="17">
        <v>40033</v>
      </c>
      <c r="K264" s="17">
        <v>173</v>
      </c>
      <c r="L264" s="17" t="s">
        <v>370</v>
      </c>
      <c r="M264" s="17" t="s">
        <v>25</v>
      </c>
    </row>
    <row r="265" spans="1:13">
      <c r="A265" s="17" t="s">
        <v>303</v>
      </c>
      <c r="B265" s="17" t="s">
        <v>34</v>
      </c>
      <c r="C265" s="19">
        <v>45808</v>
      </c>
      <c r="D265" s="17" t="s">
        <v>57</v>
      </c>
      <c r="E265" s="17" t="s">
        <v>40</v>
      </c>
      <c r="F265" s="17">
        <v>2162</v>
      </c>
      <c r="G265" s="17">
        <v>318</v>
      </c>
      <c r="H265" s="17">
        <v>83</v>
      </c>
      <c r="I265" s="17">
        <v>46719</v>
      </c>
      <c r="J265" s="17">
        <v>20482</v>
      </c>
      <c r="K265" s="17">
        <v>185</v>
      </c>
      <c r="L265" s="17" t="s">
        <v>372</v>
      </c>
      <c r="M265" s="17" t="s">
        <v>58</v>
      </c>
    </row>
    <row r="266" spans="1:13">
      <c r="A266" s="17" t="s">
        <v>304</v>
      </c>
      <c r="B266" s="17" t="s">
        <v>27</v>
      </c>
      <c r="C266" s="19">
        <v>45825</v>
      </c>
      <c r="D266" s="17" t="s">
        <v>28</v>
      </c>
      <c r="E266" s="17" t="s">
        <v>22</v>
      </c>
      <c r="F266" s="17">
        <v>4341</v>
      </c>
      <c r="G266" s="17">
        <v>141</v>
      </c>
      <c r="H266" s="17">
        <v>63</v>
      </c>
      <c r="I266" s="17">
        <v>50081</v>
      </c>
      <c r="J266" s="17">
        <v>27507</v>
      </c>
      <c r="K266" s="17">
        <v>221</v>
      </c>
      <c r="L266" s="17" t="s">
        <v>371</v>
      </c>
      <c r="M266" s="17" t="s">
        <v>20</v>
      </c>
    </row>
    <row r="267" spans="1:13">
      <c r="A267" s="17" t="s">
        <v>305</v>
      </c>
      <c r="B267" s="17" t="s">
        <v>15</v>
      </c>
      <c r="C267" s="19">
        <v>45442</v>
      </c>
      <c r="D267" s="17" t="s">
        <v>28</v>
      </c>
      <c r="E267" s="17" t="s">
        <v>40</v>
      </c>
      <c r="F267" s="17">
        <v>2448</v>
      </c>
      <c r="G267" s="17">
        <v>464</v>
      </c>
      <c r="H267" s="17">
        <v>98</v>
      </c>
      <c r="I267" s="17">
        <v>25737</v>
      </c>
      <c r="J267" s="17">
        <v>48545</v>
      </c>
      <c r="K267" s="17">
        <v>246</v>
      </c>
      <c r="L267" s="17" t="s">
        <v>19</v>
      </c>
      <c r="M267" s="17" t="s">
        <v>55</v>
      </c>
    </row>
    <row r="268" spans="1:13">
      <c r="A268" s="17" t="s">
        <v>306</v>
      </c>
      <c r="B268" s="17" t="s">
        <v>34</v>
      </c>
      <c r="C268" s="19">
        <v>45604</v>
      </c>
      <c r="D268" s="17" t="s">
        <v>16</v>
      </c>
      <c r="E268" s="17" t="s">
        <v>43</v>
      </c>
      <c r="F268" s="17">
        <v>2471</v>
      </c>
      <c r="G268" s="17">
        <v>166</v>
      </c>
      <c r="H268" s="17">
        <v>320</v>
      </c>
      <c r="I268" s="17">
        <v>48254</v>
      </c>
      <c r="J268" s="17">
        <v>46900</v>
      </c>
      <c r="K268" s="17">
        <v>111</v>
      </c>
      <c r="L268" s="17" t="s">
        <v>370</v>
      </c>
      <c r="M268" s="17" t="s">
        <v>25</v>
      </c>
    </row>
    <row r="269" spans="1:13">
      <c r="A269" s="17" t="s">
        <v>307</v>
      </c>
      <c r="B269" s="17" t="s">
        <v>34</v>
      </c>
      <c r="C269" s="19">
        <v>45368</v>
      </c>
      <c r="D269" s="17" t="s">
        <v>57</v>
      </c>
      <c r="E269" s="17" t="s">
        <v>22</v>
      </c>
      <c r="F269" s="17">
        <v>2692</v>
      </c>
      <c r="G269" s="17">
        <v>446</v>
      </c>
      <c r="H269" s="17">
        <v>216</v>
      </c>
      <c r="I269" s="17">
        <v>45818</v>
      </c>
      <c r="J269" s="17">
        <v>62723</v>
      </c>
      <c r="K269" s="17">
        <v>85</v>
      </c>
      <c r="L269" s="17" t="s">
        <v>372</v>
      </c>
      <c r="M269" s="17" t="s">
        <v>58</v>
      </c>
    </row>
    <row r="270" spans="1:13">
      <c r="A270" s="17" t="s">
        <v>308</v>
      </c>
      <c r="B270" s="17" t="s">
        <v>34</v>
      </c>
      <c r="C270" s="19">
        <v>45464</v>
      </c>
      <c r="D270" s="17" t="s">
        <v>57</v>
      </c>
      <c r="E270" s="17" t="s">
        <v>35</v>
      </c>
      <c r="F270" s="17">
        <v>4621</v>
      </c>
      <c r="G270" s="17">
        <v>374</v>
      </c>
      <c r="H270" s="17">
        <v>298</v>
      </c>
      <c r="I270" s="17">
        <v>56979</v>
      </c>
      <c r="J270" s="17">
        <v>24098</v>
      </c>
      <c r="K270" s="17">
        <v>205</v>
      </c>
      <c r="L270" s="17" t="s">
        <v>372</v>
      </c>
      <c r="M270" s="17" t="s">
        <v>58</v>
      </c>
    </row>
    <row r="271" spans="1:13">
      <c r="A271" s="17" t="s">
        <v>309</v>
      </c>
      <c r="B271" s="17" t="s">
        <v>27</v>
      </c>
      <c r="C271" s="19">
        <v>45609</v>
      </c>
      <c r="D271" s="17" t="s">
        <v>28</v>
      </c>
      <c r="E271" s="17" t="s">
        <v>29</v>
      </c>
      <c r="F271" s="17">
        <v>1409</v>
      </c>
      <c r="G271" s="17">
        <v>466</v>
      </c>
      <c r="H271" s="17">
        <v>105</v>
      </c>
      <c r="I271" s="17">
        <v>58923</v>
      </c>
      <c r="J271" s="17">
        <v>38753</v>
      </c>
      <c r="K271" s="17">
        <v>265</v>
      </c>
      <c r="L271" s="17" t="s">
        <v>371</v>
      </c>
      <c r="M271" s="17" t="s">
        <v>20</v>
      </c>
    </row>
    <row r="272" spans="1:13">
      <c r="A272" s="17" t="s">
        <v>310</v>
      </c>
      <c r="B272" s="17" t="s">
        <v>27</v>
      </c>
      <c r="C272" s="19">
        <v>45693</v>
      </c>
      <c r="D272" s="17" t="s">
        <v>28</v>
      </c>
      <c r="E272" s="17" t="s">
        <v>17</v>
      </c>
      <c r="F272" s="17">
        <v>3029</v>
      </c>
      <c r="G272" s="17">
        <v>440</v>
      </c>
      <c r="H272" s="17">
        <v>66</v>
      </c>
      <c r="I272" s="17">
        <v>23815</v>
      </c>
      <c r="J272" s="17">
        <v>47895</v>
      </c>
      <c r="K272" s="17">
        <v>210</v>
      </c>
      <c r="L272" s="17" t="s">
        <v>371</v>
      </c>
      <c r="M272" s="17" t="s">
        <v>20</v>
      </c>
    </row>
    <row r="273" spans="1:13">
      <c r="A273" s="17" t="s">
        <v>311</v>
      </c>
      <c r="B273" s="17" t="s">
        <v>27</v>
      </c>
      <c r="C273" s="19">
        <v>45603</v>
      </c>
      <c r="D273" s="17" t="s">
        <v>16</v>
      </c>
      <c r="E273" s="17" t="s">
        <v>22</v>
      </c>
      <c r="F273" s="17">
        <v>2229</v>
      </c>
      <c r="G273" s="17">
        <v>395</v>
      </c>
      <c r="H273" s="17">
        <v>328</v>
      </c>
      <c r="I273" s="17">
        <v>56921</v>
      </c>
      <c r="J273" s="17">
        <v>37176</v>
      </c>
      <c r="K273" s="17">
        <v>126</v>
      </c>
      <c r="L273" s="17" t="s">
        <v>18</v>
      </c>
      <c r="M273" s="17" t="s">
        <v>25</v>
      </c>
    </row>
    <row r="274" spans="1:13">
      <c r="A274" s="17" t="s">
        <v>312</v>
      </c>
      <c r="B274" s="17" t="s">
        <v>27</v>
      </c>
      <c r="C274" s="19">
        <v>45334</v>
      </c>
      <c r="D274" s="17" t="s">
        <v>16</v>
      </c>
      <c r="E274" s="17" t="s">
        <v>22</v>
      </c>
      <c r="F274" s="17">
        <v>2691</v>
      </c>
      <c r="G274" s="17">
        <v>486</v>
      </c>
      <c r="H274" s="17">
        <v>206</v>
      </c>
      <c r="I274" s="17">
        <v>51133</v>
      </c>
      <c r="J274" s="17">
        <v>44583</v>
      </c>
      <c r="K274" s="17">
        <v>276</v>
      </c>
      <c r="L274" s="17" t="s">
        <v>19</v>
      </c>
      <c r="M274" s="17" t="s">
        <v>20</v>
      </c>
    </row>
    <row r="275" spans="1:13">
      <c r="A275" s="17" t="s">
        <v>313</v>
      </c>
      <c r="B275" s="17" t="s">
        <v>15</v>
      </c>
      <c r="C275" s="19">
        <v>45573</v>
      </c>
      <c r="D275" s="17" t="s">
        <v>16</v>
      </c>
      <c r="E275" s="17" t="s">
        <v>22</v>
      </c>
      <c r="F275" s="17">
        <v>2110</v>
      </c>
      <c r="G275" s="17">
        <v>384</v>
      </c>
      <c r="H275" s="17">
        <v>236</v>
      </c>
      <c r="I275" s="17">
        <v>49965</v>
      </c>
      <c r="J275" s="17">
        <v>61555</v>
      </c>
      <c r="K275" s="17">
        <v>195</v>
      </c>
      <c r="L275" s="17" t="s">
        <v>23</v>
      </c>
      <c r="M275" s="17" t="s">
        <v>25</v>
      </c>
    </row>
    <row r="276" spans="1:13">
      <c r="A276" s="17" t="s">
        <v>314</v>
      </c>
      <c r="B276" s="17" t="s">
        <v>15</v>
      </c>
      <c r="C276" s="19">
        <v>45341</v>
      </c>
      <c r="D276" s="17" t="s">
        <v>16</v>
      </c>
      <c r="E276" s="17" t="s">
        <v>32</v>
      </c>
      <c r="F276" s="17">
        <v>4752</v>
      </c>
      <c r="G276" s="17">
        <v>449</v>
      </c>
      <c r="H276" s="17">
        <v>309</v>
      </c>
      <c r="I276" s="17">
        <v>58530</v>
      </c>
      <c r="J276" s="17">
        <v>26630</v>
      </c>
      <c r="K276" s="17">
        <v>234</v>
      </c>
      <c r="L276" s="17" t="s">
        <v>23</v>
      </c>
      <c r="M276" s="17" t="s">
        <v>25</v>
      </c>
    </row>
    <row r="277" spans="1:13">
      <c r="A277" s="17" t="s">
        <v>315</v>
      </c>
      <c r="B277" s="17" t="s">
        <v>27</v>
      </c>
      <c r="C277" s="19">
        <v>45720</v>
      </c>
      <c r="D277" s="17" t="s">
        <v>16</v>
      </c>
      <c r="E277" s="17" t="s">
        <v>17</v>
      </c>
      <c r="F277" s="17">
        <v>2177</v>
      </c>
      <c r="G277" s="17">
        <v>258</v>
      </c>
      <c r="H277" s="17">
        <v>292</v>
      </c>
      <c r="I277" s="17">
        <v>47276</v>
      </c>
      <c r="J277" s="17">
        <v>51324</v>
      </c>
      <c r="K277" s="17">
        <v>143</v>
      </c>
      <c r="L277" s="17" t="s">
        <v>19</v>
      </c>
      <c r="M277" s="17" t="s">
        <v>20</v>
      </c>
    </row>
    <row r="278" spans="1:13">
      <c r="A278" s="17" t="s">
        <v>316</v>
      </c>
      <c r="B278" s="17" t="s">
        <v>15</v>
      </c>
      <c r="C278" s="19">
        <v>45691</v>
      </c>
      <c r="D278" s="17" t="s">
        <v>28</v>
      </c>
      <c r="E278" s="17" t="s">
        <v>29</v>
      </c>
      <c r="F278" s="17">
        <v>1205</v>
      </c>
      <c r="G278" s="17">
        <v>486</v>
      </c>
      <c r="H278" s="17">
        <v>269</v>
      </c>
      <c r="I278" s="17">
        <v>23341</v>
      </c>
      <c r="J278" s="17">
        <v>42411</v>
      </c>
      <c r="K278" s="17">
        <v>184</v>
      </c>
      <c r="L278" s="17" t="s">
        <v>19</v>
      </c>
      <c r="M278" s="17" t="s">
        <v>55</v>
      </c>
    </row>
    <row r="279" spans="1:13">
      <c r="A279" s="17" t="s">
        <v>317</v>
      </c>
      <c r="B279" s="17" t="s">
        <v>15</v>
      </c>
      <c r="C279" s="19">
        <v>45628</v>
      </c>
      <c r="D279" s="17" t="s">
        <v>16</v>
      </c>
      <c r="E279" s="17" t="s">
        <v>43</v>
      </c>
      <c r="F279" s="17">
        <v>3194</v>
      </c>
      <c r="G279" s="17">
        <v>292</v>
      </c>
      <c r="H279" s="17">
        <v>245</v>
      </c>
      <c r="I279" s="17">
        <v>56371</v>
      </c>
      <c r="J279" s="17">
        <v>65597</v>
      </c>
      <c r="K279" s="17">
        <v>163</v>
      </c>
      <c r="L279" s="17" t="s">
        <v>368</v>
      </c>
      <c r="M279" s="17" t="s">
        <v>20</v>
      </c>
    </row>
    <row r="280" spans="1:13">
      <c r="A280" s="17" t="s">
        <v>318</v>
      </c>
      <c r="B280" s="17" t="s">
        <v>27</v>
      </c>
      <c r="C280" s="19">
        <v>45676</v>
      </c>
      <c r="D280" s="17" t="s">
        <v>28</v>
      </c>
      <c r="E280" s="17" t="s">
        <v>29</v>
      </c>
      <c r="F280" s="17">
        <v>3507</v>
      </c>
      <c r="G280" s="17">
        <v>295</v>
      </c>
      <c r="H280" s="17">
        <v>371</v>
      </c>
      <c r="I280" s="17">
        <v>20410</v>
      </c>
      <c r="J280" s="17">
        <v>53965</v>
      </c>
      <c r="K280" s="17">
        <v>212</v>
      </c>
      <c r="L280" s="17" t="s">
        <v>368</v>
      </c>
      <c r="M280" s="17" t="s">
        <v>20</v>
      </c>
    </row>
    <row r="281" spans="1:13">
      <c r="A281" s="17" t="s">
        <v>319</v>
      </c>
      <c r="B281" s="17" t="s">
        <v>27</v>
      </c>
      <c r="C281" s="19">
        <v>45563</v>
      </c>
      <c r="D281" s="17" t="s">
        <v>28</v>
      </c>
      <c r="E281" s="17" t="s">
        <v>32</v>
      </c>
      <c r="F281" s="17">
        <v>4471</v>
      </c>
      <c r="G281" s="17">
        <v>317</v>
      </c>
      <c r="H281" s="17">
        <v>249</v>
      </c>
      <c r="I281" s="17">
        <v>44862</v>
      </c>
      <c r="J281" s="17">
        <v>33365</v>
      </c>
      <c r="K281" s="17">
        <v>184</v>
      </c>
      <c r="L281" s="17" t="s">
        <v>371</v>
      </c>
      <c r="M281" s="17" t="s">
        <v>20</v>
      </c>
    </row>
    <row r="282" spans="1:13">
      <c r="A282" s="17" t="s">
        <v>320</v>
      </c>
      <c r="B282" s="17" t="s">
        <v>15</v>
      </c>
      <c r="C282" s="19">
        <v>45298</v>
      </c>
      <c r="D282" s="17" t="s">
        <v>16</v>
      </c>
      <c r="E282" s="17" t="s">
        <v>43</v>
      </c>
      <c r="F282" s="17">
        <v>4931</v>
      </c>
      <c r="G282" s="17">
        <v>469</v>
      </c>
      <c r="H282" s="17">
        <v>193</v>
      </c>
      <c r="I282" s="17">
        <v>56701</v>
      </c>
      <c r="J282" s="17">
        <v>69437</v>
      </c>
      <c r="K282" s="17">
        <v>291</v>
      </c>
      <c r="L282" s="17" t="s">
        <v>368</v>
      </c>
      <c r="M282" s="17" t="s">
        <v>20</v>
      </c>
    </row>
    <row r="283" spans="1:13">
      <c r="A283" s="17" t="s">
        <v>321</v>
      </c>
      <c r="B283" s="17" t="s">
        <v>27</v>
      </c>
      <c r="C283" s="19">
        <v>45343</v>
      </c>
      <c r="D283" s="17" t="s">
        <v>28</v>
      </c>
      <c r="E283" s="17" t="s">
        <v>40</v>
      </c>
      <c r="F283" s="17">
        <v>2604</v>
      </c>
      <c r="G283" s="17">
        <v>439</v>
      </c>
      <c r="H283" s="17">
        <v>148</v>
      </c>
      <c r="I283" s="17">
        <v>58468</v>
      </c>
      <c r="J283" s="17">
        <v>39629</v>
      </c>
      <c r="K283" s="17">
        <v>163</v>
      </c>
      <c r="L283" s="17" t="s">
        <v>369</v>
      </c>
      <c r="M283" s="17" t="s">
        <v>20</v>
      </c>
    </row>
    <row r="284" spans="1:13">
      <c r="A284" s="17" t="s">
        <v>322</v>
      </c>
      <c r="B284" s="17" t="s">
        <v>15</v>
      </c>
      <c r="C284" s="19">
        <v>45531</v>
      </c>
      <c r="D284" s="17" t="s">
        <v>16</v>
      </c>
      <c r="E284" s="17" t="s">
        <v>35</v>
      </c>
      <c r="F284" s="17">
        <v>4197</v>
      </c>
      <c r="G284" s="17">
        <v>359</v>
      </c>
      <c r="H284" s="17">
        <v>280</v>
      </c>
      <c r="I284" s="17">
        <v>56048</v>
      </c>
      <c r="J284" s="17">
        <v>70930</v>
      </c>
      <c r="K284" s="17">
        <v>295</v>
      </c>
      <c r="L284" s="17" t="s">
        <v>23</v>
      </c>
      <c r="M284" s="17" t="s">
        <v>25</v>
      </c>
    </row>
    <row r="285" spans="1:13">
      <c r="A285" s="17" t="s">
        <v>323</v>
      </c>
      <c r="B285" s="17" t="s">
        <v>15</v>
      </c>
      <c r="C285" s="19">
        <v>45589</v>
      </c>
      <c r="D285" s="17" t="s">
        <v>28</v>
      </c>
      <c r="E285" s="17" t="s">
        <v>43</v>
      </c>
      <c r="F285" s="17">
        <v>1914</v>
      </c>
      <c r="G285" s="17">
        <v>255</v>
      </c>
      <c r="H285" s="17">
        <v>156</v>
      </c>
      <c r="I285" s="17">
        <v>27660</v>
      </c>
      <c r="J285" s="17">
        <v>47776</v>
      </c>
      <c r="K285" s="17">
        <v>111</v>
      </c>
      <c r="L285" s="17" t="s">
        <v>19</v>
      </c>
      <c r="M285" s="17" t="s">
        <v>55</v>
      </c>
    </row>
    <row r="286" spans="1:13">
      <c r="A286" s="17" t="s">
        <v>324</v>
      </c>
      <c r="B286" s="17" t="s">
        <v>34</v>
      </c>
      <c r="C286" s="19">
        <v>45686</v>
      </c>
      <c r="D286" s="17" t="s">
        <v>16</v>
      </c>
      <c r="E286" s="17" t="s">
        <v>29</v>
      </c>
      <c r="F286" s="17">
        <v>1334</v>
      </c>
      <c r="G286" s="17">
        <v>357</v>
      </c>
      <c r="H286" s="17">
        <v>257</v>
      </c>
      <c r="I286" s="17">
        <v>56910</v>
      </c>
      <c r="J286" s="17">
        <v>70606</v>
      </c>
      <c r="K286" s="17">
        <v>228</v>
      </c>
      <c r="L286" s="17" t="s">
        <v>370</v>
      </c>
      <c r="M286" s="17" t="s">
        <v>25</v>
      </c>
    </row>
    <row r="287" spans="1:13">
      <c r="A287" s="17" t="s">
        <v>325</v>
      </c>
      <c r="B287" s="17" t="s">
        <v>15</v>
      </c>
      <c r="C287" s="19">
        <v>45413</v>
      </c>
      <c r="D287" s="17" t="s">
        <v>16</v>
      </c>
      <c r="E287" s="17" t="s">
        <v>40</v>
      </c>
      <c r="F287" s="17">
        <v>3359</v>
      </c>
      <c r="G287" s="17">
        <v>137</v>
      </c>
      <c r="H287" s="17">
        <v>387</v>
      </c>
      <c r="I287" s="17">
        <v>33861</v>
      </c>
      <c r="J287" s="17">
        <v>47257</v>
      </c>
      <c r="K287" s="17">
        <v>198</v>
      </c>
      <c r="L287" s="17" t="s">
        <v>23</v>
      </c>
      <c r="M287" s="17" t="s">
        <v>25</v>
      </c>
    </row>
    <row r="288" spans="1:13">
      <c r="A288" s="17" t="s">
        <v>326</v>
      </c>
      <c r="B288" s="17" t="s">
        <v>34</v>
      </c>
      <c r="C288" s="19">
        <v>45468</v>
      </c>
      <c r="D288" s="17" t="s">
        <v>16</v>
      </c>
      <c r="E288" s="17" t="s">
        <v>51</v>
      </c>
      <c r="F288" s="17">
        <v>2172</v>
      </c>
      <c r="G288" s="17">
        <v>338</v>
      </c>
      <c r="H288" s="17">
        <v>70</v>
      </c>
      <c r="I288" s="17">
        <v>30515</v>
      </c>
      <c r="J288" s="17">
        <v>57853</v>
      </c>
      <c r="K288" s="17">
        <v>156</v>
      </c>
      <c r="L288" s="17" t="s">
        <v>370</v>
      </c>
      <c r="M288" s="17" t="s">
        <v>25</v>
      </c>
    </row>
    <row r="289" spans="1:13">
      <c r="A289" s="17" t="s">
        <v>327</v>
      </c>
      <c r="B289" s="17" t="s">
        <v>27</v>
      </c>
      <c r="C289" s="19">
        <v>45513</v>
      </c>
      <c r="D289" s="17" t="s">
        <v>28</v>
      </c>
      <c r="E289" s="17" t="s">
        <v>49</v>
      </c>
      <c r="F289" s="17">
        <v>4877</v>
      </c>
      <c r="G289" s="17">
        <v>442</v>
      </c>
      <c r="H289" s="17">
        <v>236</v>
      </c>
      <c r="I289" s="17">
        <v>52673</v>
      </c>
      <c r="J289" s="17">
        <v>48241</v>
      </c>
      <c r="K289" s="17">
        <v>114</v>
      </c>
      <c r="L289" s="17" t="s">
        <v>371</v>
      </c>
      <c r="M289" s="17" t="s">
        <v>20</v>
      </c>
    </row>
    <row r="290" spans="1:13">
      <c r="A290" s="17" t="s">
        <v>328</v>
      </c>
      <c r="B290" s="17" t="s">
        <v>15</v>
      </c>
      <c r="C290" s="19">
        <v>45678</v>
      </c>
      <c r="D290" s="17" t="s">
        <v>28</v>
      </c>
      <c r="E290" s="17" t="s">
        <v>29</v>
      </c>
      <c r="F290" s="17">
        <v>4918</v>
      </c>
      <c r="G290" s="17">
        <v>440</v>
      </c>
      <c r="H290" s="17">
        <v>149</v>
      </c>
      <c r="I290" s="17">
        <v>53269</v>
      </c>
      <c r="J290" s="17">
        <v>64370</v>
      </c>
      <c r="K290" s="17">
        <v>269</v>
      </c>
      <c r="L290" s="17" t="s">
        <v>19</v>
      </c>
      <c r="M290" s="17" t="s">
        <v>55</v>
      </c>
    </row>
    <row r="291" spans="1:13">
      <c r="A291" s="17" t="s">
        <v>329</v>
      </c>
      <c r="B291" s="17" t="s">
        <v>27</v>
      </c>
      <c r="C291" s="19">
        <v>45517</v>
      </c>
      <c r="D291" s="17" t="s">
        <v>16</v>
      </c>
      <c r="E291" s="17" t="s">
        <v>22</v>
      </c>
      <c r="F291" s="17">
        <v>3418</v>
      </c>
      <c r="G291" s="17">
        <v>107</v>
      </c>
      <c r="H291" s="17">
        <v>221</v>
      </c>
      <c r="I291" s="17">
        <v>23927</v>
      </c>
      <c r="J291" s="17">
        <v>26182</v>
      </c>
      <c r="K291" s="17">
        <v>155</v>
      </c>
      <c r="L291" s="17" t="s">
        <v>18</v>
      </c>
      <c r="M291" s="17" t="s">
        <v>25</v>
      </c>
    </row>
    <row r="292" spans="1:13">
      <c r="A292" s="17" t="s">
        <v>330</v>
      </c>
      <c r="B292" s="17" t="s">
        <v>15</v>
      </c>
      <c r="C292" s="19">
        <v>45472</v>
      </c>
      <c r="D292" s="17" t="s">
        <v>16</v>
      </c>
      <c r="E292" s="17" t="s">
        <v>51</v>
      </c>
      <c r="F292" s="17">
        <v>2088</v>
      </c>
      <c r="G292" s="17">
        <v>490</v>
      </c>
      <c r="H292" s="17">
        <v>124</v>
      </c>
      <c r="I292" s="17">
        <v>46544</v>
      </c>
      <c r="J292" s="17">
        <v>69346</v>
      </c>
      <c r="K292" s="17">
        <v>178</v>
      </c>
      <c r="L292" s="17" t="s">
        <v>368</v>
      </c>
      <c r="M292" s="17" t="s">
        <v>20</v>
      </c>
    </row>
    <row r="293" spans="1:13">
      <c r="A293" s="17" t="s">
        <v>331</v>
      </c>
      <c r="B293" s="17" t="s">
        <v>27</v>
      </c>
      <c r="C293" s="19">
        <v>45599</v>
      </c>
      <c r="D293" s="17" t="s">
        <v>28</v>
      </c>
      <c r="E293" s="17" t="s">
        <v>22</v>
      </c>
      <c r="F293" s="17">
        <v>3061</v>
      </c>
      <c r="G293" s="17">
        <v>320</v>
      </c>
      <c r="H293" s="17">
        <v>76</v>
      </c>
      <c r="I293" s="17">
        <v>26640</v>
      </c>
      <c r="J293" s="17">
        <v>24306</v>
      </c>
      <c r="K293" s="17">
        <v>112</v>
      </c>
      <c r="L293" s="17" t="s">
        <v>369</v>
      </c>
      <c r="M293" s="17" t="s">
        <v>20</v>
      </c>
    </row>
    <row r="294" spans="1:13">
      <c r="A294" s="17" t="s">
        <v>332</v>
      </c>
      <c r="B294" s="17" t="s">
        <v>34</v>
      </c>
      <c r="C294" s="19">
        <v>45765</v>
      </c>
      <c r="D294" s="17" t="s">
        <v>57</v>
      </c>
      <c r="E294" s="17" t="s">
        <v>51</v>
      </c>
      <c r="F294" s="17">
        <v>1265</v>
      </c>
      <c r="G294" s="17">
        <v>230</v>
      </c>
      <c r="H294" s="17">
        <v>364</v>
      </c>
      <c r="I294" s="17">
        <v>41312</v>
      </c>
      <c r="J294" s="17">
        <v>50382</v>
      </c>
      <c r="K294" s="17">
        <v>106</v>
      </c>
      <c r="L294" s="17" t="s">
        <v>372</v>
      </c>
      <c r="M294" s="17" t="s">
        <v>58</v>
      </c>
    </row>
    <row r="295" spans="1:13">
      <c r="A295" s="17" t="s">
        <v>333</v>
      </c>
      <c r="B295" s="17" t="s">
        <v>15</v>
      </c>
      <c r="C295" s="19">
        <v>45653</v>
      </c>
      <c r="D295" s="17" t="s">
        <v>16</v>
      </c>
      <c r="E295" s="17" t="s">
        <v>49</v>
      </c>
      <c r="F295" s="17">
        <v>1436</v>
      </c>
      <c r="G295" s="17">
        <v>219</v>
      </c>
      <c r="H295" s="17">
        <v>229</v>
      </c>
      <c r="I295" s="17">
        <v>58488</v>
      </c>
      <c r="J295" s="17">
        <v>24314</v>
      </c>
      <c r="K295" s="17">
        <v>147</v>
      </c>
      <c r="L295" s="17" t="s">
        <v>23</v>
      </c>
      <c r="M295" s="17" t="s">
        <v>25</v>
      </c>
    </row>
    <row r="296" spans="1:13">
      <c r="A296" s="17" t="s">
        <v>334</v>
      </c>
      <c r="B296" s="17" t="s">
        <v>15</v>
      </c>
      <c r="C296" s="19">
        <v>45724</v>
      </c>
      <c r="D296" s="17" t="s">
        <v>28</v>
      </c>
      <c r="E296" s="17" t="s">
        <v>43</v>
      </c>
      <c r="F296" s="17">
        <v>2244</v>
      </c>
      <c r="G296" s="17">
        <v>392</v>
      </c>
      <c r="H296" s="17">
        <v>231</v>
      </c>
      <c r="I296" s="17">
        <v>25834</v>
      </c>
      <c r="J296" s="17">
        <v>50906</v>
      </c>
      <c r="K296" s="17">
        <v>165</v>
      </c>
      <c r="L296" s="17" t="s">
        <v>19</v>
      </c>
      <c r="M296" s="17" t="s">
        <v>55</v>
      </c>
    </row>
    <row r="297" spans="1:13">
      <c r="A297" s="17" t="s">
        <v>335</v>
      </c>
      <c r="B297" s="17" t="s">
        <v>27</v>
      </c>
      <c r="C297" s="19">
        <v>45736</v>
      </c>
      <c r="D297" s="17" t="s">
        <v>28</v>
      </c>
      <c r="E297" s="17" t="s">
        <v>51</v>
      </c>
      <c r="F297" s="17">
        <v>3393</v>
      </c>
      <c r="G297" s="17">
        <v>104</v>
      </c>
      <c r="H297" s="17">
        <v>79</v>
      </c>
      <c r="I297" s="17">
        <v>30025</v>
      </c>
      <c r="J297" s="17">
        <v>21593</v>
      </c>
      <c r="K297" s="17">
        <v>165</v>
      </c>
      <c r="L297" s="17" t="s">
        <v>369</v>
      </c>
      <c r="M297" s="17" t="s">
        <v>20</v>
      </c>
    </row>
    <row r="298" spans="1:13">
      <c r="A298" s="17" t="s">
        <v>336</v>
      </c>
      <c r="B298" s="17" t="s">
        <v>27</v>
      </c>
      <c r="C298" s="19">
        <v>45612</v>
      </c>
      <c r="D298" s="17" t="s">
        <v>16</v>
      </c>
      <c r="E298" s="17" t="s">
        <v>22</v>
      </c>
      <c r="F298" s="17">
        <v>2901</v>
      </c>
      <c r="G298" s="17">
        <v>108</v>
      </c>
      <c r="H298" s="17">
        <v>86</v>
      </c>
      <c r="I298" s="17">
        <v>51777</v>
      </c>
      <c r="J298" s="17">
        <v>23773</v>
      </c>
      <c r="K298" s="17">
        <v>160</v>
      </c>
      <c r="L298" s="17" t="s">
        <v>18</v>
      </c>
      <c r="M298" s="17" t="s">
        <v>25</v>
      </c>
    </row>
    <row r="299" spans="1:13">
      <c r="A299" s="17" t="s">
        <v>337</v>
      </c>
      <c r="B299" s="17" t="s">
        <v>27</v>
      </c>
      <c r="C299" s="19">
        <v>45838</v>
      </c>
      <c r="D299" s="17" t="s">
        <v>16</v>
      </c>
      <c r="E299" s="17" t="s">
        <v>38</v>
      </c>
      <c r="F299" s="17">
        <v>2275</v>
      </c>
      <c r="G299" s="17">
        <v>285</v>
      </c>
      <c r="H299" s="17">
        <v>125</v>
      </c>
      <c r="I299" s="17">
        <v>43970</v>
      </c>
      <c r="J299" s="17">
        <v>74761</v>
      </c>
      <c r="K299" s="17">
        <v>83</v>
      </c>
      <c r="L299" s="17" t="s">
        <v>19</v>
      </c>
      <c r="M299" s="17" t="s">
        <v>20</v>
      </c>
    </row>
    <row r="300" spans="1:13">
      <c r="A300" s="17" t="s">
        <v>338</v>
      </c>
      <c r="B300" s="17" t="s">
        <v>27</v>
      </c>
      <c r="C300" s="19">
        <v>45303</v>
      </c>
      <c r="D300" s="17" t="s">
        <v>28</v>
      </c>
      <c r="E300" s="17" t="s">
        <v>32</v>
      </c>
      <c r="F300" s="17">
        <v>2227</v>
      </c>
      <c r="G300" s="17">
        <v>494</v>
      </c>
      <c r="H300" s="17">
        <v>161</v>
      </c>
      <c r="I300" s="17">
        <v>51651</v>
      </c>
      <c r="J300" s="17">
        <v>68074</v>
      </c>
      <c r="K300" s="17">
        <v>240</v>
      </c>
      <c r="L300" s="17" t="s">
        <v>371</v>
      </c>
      <c r="M300" s="17" t="s">
        <v>20</v>
      </c>
    </row>
    <row r="301" spans="1:13">
      <c r="A301" s="17" t="s">
        <v>384</v>
      </c>
      <c r="B301" s="17" t="s">
        <v>15</v>
      </c>
      <c r="C301" s="19">
        <v>45329</v>
      </c>
      <c r="D301" s="17" t="s">
        <v>16</v>
      </c>
      <c r="E301" s="17" t="s">
        <v>35</v>
      </c>
      <c r="F301" s="17">
        <v>1883</v>
      </c>
      <c r="G301" s="17">
        <v>432</v>
      </c>
      <c r="H301" s="17">
        <v>397</v>
      </c>
      <c r="I301" s="17">
        <v>28759</v>
      </c>
      <c r="J301" s="17">
        <v>18691</v>
      </c>
      <c r="K301" s="17">
        <v>270</v>
      </c>
      <c r="L301" s="17" t="s">
        <v>368</v>
      </c>
      <c r="M301" s="17"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ECF4-41C7-44DF-8803-9A788BC124EE}">
  <dimension ref="A1:G201"/>
  <sheetViews>
    <sheetView tabSelected="1" workbookViewId="0">
      <selection activeCell="C10" sqref="C10"/>
    </sheetView>
  </sheetViews>
  <sheetFormatPr defaultRowHeight="14.4"/>
  <cols>
    <col min="1" max="1" width="15.77734375" bestFit="1" customWidth="1"/>
    <col min="2" max="2" width="9.10937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s>
  <sheetData>
    <row r="1" spans="1:7">
      <c r="A1" s="20" t="s">
        <v>356</v>
      </c>
      <c r="B1" s="20" t="s">
        <v>1</v>
      </c>
      <c r="C1" s="20" t="s">
        <v>357</v>
      </c>
      <c r="D1" s="20" t="s">
        <v>358</v>
      </c>
      <c r="E1" s="20" t="s">
        <v>359</v>
      </c>
      <c r="F1" s="20" t="s">
        <v>360</v>
      </c>
      <c r="G1" s="20" t="s">
        <v>361</v>
      </c>
    </row>
    <row r="2" spans="1:7">
      <c r="A2" s="21">
        <v>45446</v>
      </c>
      <c r="B2" s="22" t="s">
        <v>15</v>
      </c>
      <c r="C2" s="22">
        <v>1402</v>
      </c>
      <c r="D2" s="22">
        <v>68</v>
      </c>
      <c r="E2" s="22">
        <v>124562</v>
      </c>
      <c r="F2" s="22">
        <v>9.92</v>
      </c>
      <c r="G2" s="22">
        <v>23125</v>
      </c>
    </row>
    <row r="3" spans="1:7">
      <c r="A3" s="21">
        <v>45446</v>
      </c>
      <c r="B3" s="22" t="s">
        <v>27</v>
      </c>
      <c r="C3" s="22">
        <v>995</v>
      </c>
      <c r="D3" s="22">
        <v>86</v>
      </c>
      <c r="E3" s="22">
        <v>227958</v>
      </c>
      <c r="F3" s="22">
        <v>8.0500000000000007</v>
      </c>
      <c r="G3" s="22">
        <v>22788</v>
      </c>
    </row>
    <row r="4" spans="1:7">
      <c r="A4" s="21">
        <v>45446</v>
      </c>
      <c r="B4" s="22" t="s">
        <v>34</v>
      </c>
      <c r="C4" s="22">
        <v>1472</v>
      </c>
      <c r="D4" s="22">
        <v>296</v>
      </c>
      <c r="E4" s="22">
        <v>370242</v>
      </c>
      <c r="F4" s="22">
        <v>7.72</v>
      </c>
      <c r="G4" s="22">
        <v>7810</v>
      </c>
    </row>
    <row r="5" spans="1:7">
      <c r="A5" s="23">
        <v>45453</v>
      </c>
      <c r="B5" s="22" t="s">
        <v>15</v>
      </c>
      <c r="C5" s="22">
        <v>1018</v>
      </c>
      <c r="D5" s="22">
        <v>90</v>
      </c>
      <c r="E5" s="22">
        <v>92474</v>
      </c>
      <c r="F5" s="22">
        <v>9.4</v>
      </c>
      <c r="G5" s="22">
        <v>11966</v>
      </c>
    </row>
    <row r="6" spans="1:7">
      <c r="A6" s="23">
        <v>45453</v>
      </c>
      <c r="B6" s="22" t="s">
        <v>27</v>
      </c>
      <c r="C6" s="22">
        <v>1461</v>
      </c>
      <c r="D6" s="22">
        <v>64</v>
      </c>
      <c r="E6" s="22">
        <v>328902</v>
      </c>
      <c r="F6" s="22">
        <v>9.02</v>
      </c>
      <c r="G6" s="22">
        <v>26298</v>
      </c>
    </row>
    <row r="7" spans="1:7">
      <c r="A7" s="23">
        <v>45453</v>
      </c>
      <c r="B7" s="22" t="s">
        <v>34</v>
      </c>
      <c r="C7" s="22">
        <v>545</v>
      </c>
      <c r="D7" s="22">
        <v>93</v>
      </c>
      <c r="E7" s="22">
        <v>391621</v>
      </c>
      <c r="F7" s="22">
        <v>9.9600000000000009</v>
      </c>
      <c r="G7" s="22">
        <v>22029</v>
      </c>
    </row>
    <row r="8" spans="1:7">
      <c r="A8" s="23">
        <v>45460</v>
      </c>
      <c r="B8" s="22" t="s">
        <v>15</v>
      </c>
      <c r="C8" s="22">
        <v>881</v>
      </c>
      <c r="D8" s="22">
        <v>291</v>
      </c>
      <c r="E8" s="22">
        <v>95885</v>
      </c>
      <c r="F8" s="22">
        <v>5.29</v>
      </c>
      <c r="G8" s="22">
        <v>12391</v>
      </c>
    </row>
    <row r="9" spans="1:7">
      <c r="A9" s="23">
        <v>45460</v>
      </c>
      <c r="B9" s="22" t="s">
        <v>27</v>
      </c>
      <c r="C9" s="22">
        <v>1414</v>
      </c>
      <c r="D9" s="22">
        <v>131</v>
      </c>
      <c r="E9" s="22">
        <v>245947</v>
      </c>
      <c r="F9" s="22">
        <v>8.3000000000000007</v>
      </c>
      <c r="G9" s="22">
        <v>14477</v>
      </c>
    </row>
    <row r="10" spans="1:7">
      <c r="A10" s="23">
        <v>45460</v>
      </c>
      <c r="B10" s="22" t="s">
        <v>34</v>
      </c>
      <c r="C10" s="22">
        <v>1472</v>
      </c>
      <c r="D10" s="22">
        <v>170</v>
      </c>
      <c r="E10" s="22">
        <v>250428</v>
      </c>
      <c r="F10" s="22">
        <v>4.66</v>
      </c>
      <c r="G10" s="22">
        <v>25040</v>
      </c>
    </row>
    <row r="11" spans="1:7">
      <c r="A11" s="23">
        <v>45467</v>
      </c>
      <c r="B11" s="22" t="s">
        <v>15</v>
      </c>
      <c r="C11" s="22">
        <v>809</v>
      </c>
      <c r="D11" s="22">
        <v>197</v>
      </c>
      <c r="E11" s="22">
        <v>87186</v>
      </c>
      <c r="F11" s="22">
        <v>9.48</v>
      </c>
      <c r="G11" s="22">
        <v>22619</v>
      </c>
    </row>
    <row r="12" spans="1:7">
      <c r="A12" s="23">
        <v>45467</v>
      </c>
      <c r="B12" s="22" t="s">
        <v>27</v>
      </c>
      <c r="C12" s="22">
        <v>1371</v>
      </c>
      <c r="D12" s="22">
        <v>250</v>
      </c>
      <c r="E12" s="22">
        <v>128620</v>
      </c>
      <c r="F12" s="22">
        <v>7.11</v>
      </c>
      <c r="G12" s="22">
        <v>12399</v>
      </c>
    </row>
    <row r="13" spans="1:7">
      <c r="A13" s="23">
        <v>45467</v>
      </c>
      <c r="B13" s="22" t="s">
        <v>34</v>
      </c>
      <c r="C13" s="22">
        <v>844</v>
      </c>
      <c r="D13" s="22">
        <v>144</v>
      </c>
      <c r="E13" s="22">
        <v>126015</v>
      </c>
      <c r="F13" s="22">
        <v>9.65</v>
      </c>
      <c r="G13" s="22">
        <v>22456</v>
      </c>
    </row>
    <row r="14" spans="1:7">
      <c r="A14" s="21">
        <v>45474</v>
      </c>
      <c r="B14" s="22" t="s">
        <v>15</v>
      </c>
      <c r="C14" s="22">
        <v>786</v>
      </c>
      <c r="D14" s="22">
        <v>72</v>
      </c>
      <c r="E14" s="22">
        <v>178615</v>
      </c>
      <c r="F14" s="22">
        <v>5.43</v>
      </c>
      <c r="G14" s="22">
        <v>19328</v>
      </c>
    </row>
    <row r="15" spans="1:7">
      <c r="A15" s="21">
        <v>45474</v>
      </c>
      <c r="B15" s="22" t="s">
        <v>27</v>
      </c>
      <c r="C15" s="22">
        <v>845</v>
      </c>
      <c r="D15" s="22">
        <v>250</v>
      </c>
      <c r="E15" s="22">
        <v>218228</v>
      </c>
      <c r="F15" s="22">
        <v>4.5199999999999996</v>
      </c>
      <c r="G15" s="22">
        <v>21107</v>
      </c>
    </row>
    <row r="16" spans="1:7">
      <c r="A16" s="21">
        <v>45474</v>
      </c>
      <c r="B16" s="22" t="s">
        <v>34</v>
      </c>
      <c r="C16" s="22">
        <v>1218</v>
      </c>
      <c r="D16" s="22">
        <v>101</v>
      </c>
      <c r="E16" s="22">
        <v>300397</v>
      </c>
      <c r="F16" s="22">
        <v>4.33</v>
      </c>
      <c r="G16" s="22">
        <v>12277</v>
      </c>
    </row>
    <row r="17" spans="1:7">
      <c r="A17" s="21">
        <v>45481</v>
      </c>
      <c r="B17" s="22" t="s">
        <v>15</v>
      </c>
      <c r="C17" s="22">
        <v>797</v>
      </c>
      <c r="D17" s="22">
        <v>130</v>
      </c>
      <c r="E17" s="22">
        <v>340121</v>
      </c>
      <c r="F17" s="22">
        <v>8.52</v>
      </c>
      <c r="G17" s="22">
        <v>11684</v>
      </c>
    </row>
    <row r="18" spans="1:7">
      <c r="A18" s="21">
        <v>45481</v>
      </c>
      <c r="B18" s="22" t="s">
        <v>27</v>
      </c>
      <c r="C18" s="22">
        <v>1471</v>
      </c>
      <c r="D18" s="22">
        <v>100</v>
      </c>
      <c r="E18" s="22">
        <v>76866</v>
      </c>
      <c r="F18" s="22">
        <v>8.5500000000000007</v>
      </c>
      <c r="G18" s="22">
        <v>14412</v>
      </c>
    </row>
    <row r="19" spans="1:7">
      <c r="A19" s="21">
        <v>45481</v>
      </c>
      <c r="B19" s="22" t="s">
        <v>34</v>
      </c>
      <c r="C19" s="22">
        <v>1253</v>
      </c>
      <c r="D19" s="22">
        <v>136</v>
      </c>
      <c r="E19" s="22">
        <v>193131</v>
      </c>
      <c r="F19" s="22">
        <v>7.99</v>
      </c>
      <c r="G19" s="22">
        <v>15924</v>
      </c>
    </row>
    <row r="20" spans="1:7">
      <c r="A20" s="23">
        <v>45488</v>
      </c>
      <c r="B20" s="22" t="s">
        <v>15</v>
      </c>
      <c r="C20" s="22">
        <v>616</v>
      </c>
      <c r="D20" s="22">
        <v>257</v>
      </c>
      <c r="E20" s="22">
        <v>169665</v>
      </c>
      <c r="F20" s="22">
        <v>6.31</v>
      </c>
      <c r="G20" s="22">
        <v>12390</v>
      </c>
    </row>
    <row r="21" spans="1:7">
      <c r="A21" s="23">
        <v>45488</v>
      </c>
      <c r="B21" s="22" t="s">
        <v>27</v>
      </c>
      <c r="C21" s="22">
        <v>1308</v>
      </c>
      <c r="D21" s="22">
        <v>210</v>
      </c>
      <c r="E21" s="22">
        <v>263729</v>
      </c>
      <c r="F21" s="22">
        <v>8.5299999999999994</v>
      </c>
      <c r="G21" s="22">
        <v>25742</v>
      </c>
    </row>
    <row r="22" spans="1:7">
      <c r="A22" s="23">
        <v>45488</v>
      </c>
      <c r="B22" s="22" t="s">
        <v>34</v>
      </c>
      <c r="C22" s="22">
        <v>981</v>
      </c>
      <c r="D22" s="22">
        <v>69</v>
      </c>
      <c r="E22" s="22">
        <v>206921</v>
      </c>
      <c r="F22" s="22">
        <v>8.42</v>
      </c>
      <c r="G22" s="22">
        <v>10495</v>
      </c>
    </row>
    <row r="23" spans="1:7">
      <c r="A23" s="23">
        <v>45495</v>
      </c>
      <c r="B23" s="22" t="s">
        <v>15</v>
      </c>
      <c r="C23" s="22">
        <v>866</v>
      </c>
      <c r="D23" s="22">
        <v>74</v>
      </c>
      <c r="E23" s="22">
        <v>204121</v>
      </c>
      <c r="F23" s="22">
        <v>9.34</v>
      </c>
      <c r="G23" s="22">
        <v>7797</v>
      </c>
    </row>
    <row r="24" spans="1:7">
      <c r="A24" s="23">
        <v>45495</v>
      </c>
      <c r="B24" s="22" t="s">
        <v>27</v>
      </c>
      <c r="C24" s="22">
        <v>547</v>
      </c>
      <c r="D24" s="22">
        <v>183</v>
      </c>
      <c r="E24" s="22">
        <v>266350</v>
      </c>
      <c r="F24" s="22">
        <v>5.65</v>
      </c>
      <c r="G24" s="22">
        <v>15595</v>
      </c>
    </row>
    <row r="25" spans="1:7">
      <c r="A25" s="23">
        <v>45495</v>
      </c>
      <c r="B25" s="22" t="s">
        <v>34</v>
      </c>
      <c r="C25" s="22">
        <v>1241</v>
      </c>
      <c r="D25" s="22">
        <v>116</v>
      </c>
      <c r="E25" s="22">
        <v>380606</v>
      </c>
      <c r="F25" s="22">
        <v>4.2</v>
      </c>
      <c r="G25" s="22">
        <v>24617</v>
      </c>
    </row>
    <row r="26" spans="1:7">
      <c r="A26" s="23">
        <v>45502</v>
      </c>
      <c r="B26" s="22" t="s">
        <v>15</v>
      </c>
      <c r="C26" s="22">
        <v>973</v>
      </c>
      <c r="D26" s="22">
        <v>104</v>
      </c>
      <c r="E26" s="22">
        <v>376358</v>
      </c>
      <c r="F26" s="22">
        <v>3.87</v>
      </c>
      <c r="G26" s="22">
        <v>9847</v>
      </c>
    </row>
    <row r="27" spans="1:7">
      <c r="A27" s="23">
        <v>45502</v>
      </c>
      <c r="B27" s="22" t="s">
        <v>27</v>
      </c>
      <c r="C27" s="22">
        <v>611</v>
      </c>
      <c r="D27" s="22">
        <v>197</v>
      </c>
      <c r="E27" s="22">
        <v>79423</v>
      </c>
      <c r="F27" s="22">
        <v>5.82</v>
      </c>
      <c r="G27" s="22">
        <v>13644</v>
      </c>
    </row>
    <row r="28" spans="1:7">
      <c r="A28" s="23">
        <v>45502</v>
      </c>
      <c r="B28" s="22" t="s">
        <v>34</v>
      </c>
      <c r="C28" s="22">
        <v>983</v>
      </c>
      <c r="D28" s="22">
        <v>134</v>
      </c>
      <c r="E28" s="22">
        <v>352178</v>
      </c>
      <c r="F28" s="22">
        <v>3.55</v>
      </c>
      <c r="G28" s="22">
        <v>11421</v>
      </c>
    </row>
    <row r="29" spans="1:7">
      <c r="A29" s="23">
        <v>45509</v>
      </c>
      <c r="B29" s="22" t="s">
        <v>15</v>
      </c>
      <c r="C29" s="22">
        <v>1449</v>
      </c>
      <c r="D29" s="22">
        <v>96</v>
      </c>
      <c r="E29" s="22">
        <v>200636</v>
      </c>
      <c r="F29" s="22">
        <v>9.92</v>
      </c>
      <c r="G29" s="22">
        <v>15613</v>
      </c>
    </row>
    <row r="30" spans="1:7">
      <c r="A30" s="23">
        <v>45509</v>
      </c>
      <c r="B30" s="22" t="s">
        <v>27</v>
      </c>
      <c r="C30" s="22">
        <v>752</v>
      </c>
      <c r="D30" s="22">
        <v>170</v>
      </c>
      <c r="E30" s="22">
        <v>132756</v>
      </c>
      <c r="F30" s="22">
        <v>8.17</v>
      </c>
      <c r="G30" s="22">
        <v>23900</v>
      </c>
    </row>
    <row r="31" spans="1:7">
      <c r="A31" s="23">
        <v>45509</v>
      </c>
      <c r="B31" s="22" t="s">
        <v>34</v>
      </c>
      <c r="C31" s="22">
        <v>937</v>
      </c>
      <c r="D31" s="22">
        <v>179</v>
      </c>
      <c r="E31" s="22">
        <v>318098</v>
      </c>
      <c r="F31" s="22">
        <v>5.3</v>
      </c>
      <c r="G31" s="22">
        <v>5836</v>
      </c>
    </row>
    <row r="32" spans="1:7">
      <c r="A32" s="23">
        <v>45516</v>
      </c>
      <c r="B32" s="22" t="s">
        <v>15</v>
      </c>
      <c r="C32" s="22">
        <v>1060</v>
      </c>
      <c r="D32" s="22">
        <v>83</v>
      </c>
      <c r="E32" s="22">
        <v>68724</v>
      </c>
      <c r="F32" s="22">
        <v>5.98</v>
      </c>
      <c r="G32" s="22">
        <v>5624</v>
      </c>
    </row>
    <row r="33" spans="1:7">
      <c r="A33" s="23">
        <v>45516</v>
      </c>
      <c r="B33" s="22" t="s">
        <v>27</v>
      </c>
      <c r="C33" s="22">
        <v>1456</v>
      </c>
      <c r="D33" s="22">
        <v>265</v>
      </c>
      <c r="E33" s="22">
        <v>115505</v>
      </c>
      <c r="F33" s="22">
        <v>7.49</v>
      </c>
      <c r="G33" s="22">
        <v>10311</v>
      </c>
    </row>
    <row r="34" spans="1:7">
      <c r="A34" s="23">
        <v>45516</v>
      </c>
      <c r="B34" s="22" t="s">
        <v>34</v>
      </c>
      <c r="C34" s="22">
        <v>1109</v>
      </c>
      <c r="D34" s="22">
        <v>205</v>
      </c>
      <c r="E34" s="22">
        <v>276722</v>
      </c>
      <c r="F34" s="22">
        <v>9.3800000000000008</v>
      </c>
      <c r="G34" s="22">
        <v>8274</v>
      </c>
    </row>
    <row r="35" spans="1:7">
      <c r="A35" s="23">
        <v>45523</v>
      </c>
      <c r="B35" s="22" t="s">
        <v>15</v>
      </c>
      <c r="C35" s="22">
        <v>1002</v>
      </c>
      <c r="D35" s="22">
        <v>93</v>
      </c>
      <c r="E35" s="22">
        <v>353538</v>
      </c>
      <c r="F35" s="22">
        <v>5.84</v>
      </c>
      <c r="G35" s="22">
        <v>6031</v>
      </c>
    </row>
    <row r="36" spans="1:7">
      <c r="A36" s="23">
        <v>45523</v>
      </c>
      <c r="B36" s="22" t="s">
        <v>27</v>
      </c>
      <c r="C36" s="22">
        <v>571</v>
      </c>
      <c r="D36" s="22">
        <v>189</v>
      </c>
      <c r="E36" s="22">
        <v>61445</v>
      </c>
      <c r="F36" s="22">
        <v>5.41</v>
      </c>
      <c r="G36" s="22">
        <v>27829</v>
      </c>
    </row>
    <row r="37" spans="1:7">
      <c r="A37" s="23">
        <v>45523</v>
      </c>
      <c r="B37" s="22" t="s">
        <v>34</v>
      </c>
      <c r="C37" s="22">
        <v>1240</v>
      </c>
      <c r="D37" s="22">
        <v>231</v>
      </c>
      <c r="E37" s="22">
        <v>165035</v>
      </c>
      <c r="F37" s="22">
        <v>6.05</v>
      </c>
      <c r="G37" s="22">
        <v>18267</v>
      </c>
    </row>
    <row r="38" spans="1:7">
      <c r="A38" s="23">
        <v>45530</v>
      </c>
      <c r="B38" s="22" t="s">
        <v>15</v>
      </c>
      <c r="C38" s="22">
        <v>1154</v>
      </c>
      <c r="D38" s="22">
        <v>132</v>
      </c>
      <c r="E38" s="22">
        <v>194595</v>
      </c>
      <c r="F38" s="22">
        <v>7.54</v>
      </c>
      <c r="G38" s="22">
        <v>26624</v>
      </c>
    </row>
    <row r="39" spans="1:7">
      <c r="A39" s="23">
        <v>45530</v>
      </c>
      <c r="B39" s="22" t="s">
        <v>27</v>
      </c>
      <c r="C39" s="22">
        <v>537</v>
      </c>
      <c r="D39" s="22">
        <v>275</v>
      </c>
      <c r="E39" s="22">
        <v>236238</v>
      </c>
      <c r="F39" s="22">
        <v>5.87</v>
      </c>
      <c r="G39" s="22">
        <v>26644</v>
      </c>
    </row>
    <row r="40" spans="1:7">
      <c r="A40" s="23">
        <v>45530</v>
      </c>
      <c r="B40" s="22" t="s">
        <v>34</v>
      </c>
      <c r="C40" s="22">
        <v>1456</v>
      </c>
      <c r="D40" s="22">
        <v>290</v>
      </c>
      <c r="E40" s="22">
        <v>271044</v>
      </c>
      <c r="F40" s="22">
        <v>7.17</v>
      </c>
      <c r="G40" s="22">
        <v>13051</v>
      </c>
    </row>
    <row r="41" spans="1:7">
      <c r="A41" s="23">
        <v>45537</v>
      </c>
      <c r="B41" s="22" t="s">
        <v>15</v>
      </c>
      <c r="C41" s="22">
        <v>721</v>
      </c>
      <c r="D41" s="22">
        <v>206</v>
      </c>
      <c r="E41" s="22">
        <v>334887</v>
      </c>
      <c r="F41" s="22">
        <v>6.05</v>
      </c>
      <c r="G41" s="22">
        <v>14217</v>
      </c>
    </row>
    <row r="42" spans="1:7">
      <c r="A42" s="23">
        <v>45537</v>
      </c>
      <c r="B42" s="22" t="s">
        <v>27</v>
      </c>
      <c r="C42" s="22">
        <v>1098</v>
      </c>
      <c r="D42" s="22">
        <v>142</v>
      </c>
      <c r="E42" s="22">
        <v>359150</v>
      </c>
      <c r="F42" s="22">
        <v>7.51</v>
      </c>
      <c r="G42" s="22">
        <v>16385</v>
      </c>
    </row>
    <row r="43" spans="1:7">
      <c r="A43" s="23">
        <v>45537</v>
      </c>
      <c r="B43" s="22" t="s">
        <v>34</v>
      </c>
      <c r="C43" s="22">
        <v>1096</v>
      </c>
      <c r="D43" s="22">
        <v>65</v>
      </c>
      <c r="E43" s="22">
        <v>358295</v>
      </c>
      <c r="F43" s="22">
        <v>7.66</v>
      </c>
      <c r="G43" s="22">
        <v>24548</v>
      </c>
    </row>
    <row r="44" spans="1:7">
      <c r="A44" s="23">
        <v>45544</v>
      </c>
      <c r="B44" s="22" t="s">
        <v>15</v>
      </c>
      <c r="C44" s="22">
        <v>912</v>
      </c>
      <c r="D44" s="22">
        <v>275</v>
      </c>
      <c r="E44" s="22">
        <v>368454</v>
      </c>
      <c r="F44" s="22">
        <v>6.03</v>
      </c>
      <c r="G44" s="22">
        <v>9195</v>
      </c>
    </row>
    <row r="45" spans="1:7">
      <c r="A45" s="23">
        <v>45544</v>
      </c>
      <c r="B45" s="22" t="s">
        <v>27</v>
      </c>
      <c r="C45" s="22">
        <v>1430</v>
      </c>
      <c r="D45" s="22">
        <v>162</v>
      </c>
      <c r="E45" s="22">
        <v>269082</v>
      </c>
      <c r="F45" s="22">
        <v>3.4</v>
      </c>
      <c r="G45" s="22">
        <v>18071</v>
      </c>
    </row>
    <row r="46" spans="1:7">
      <c r="A46" s="23">
        <v>45544</v>
      </c>
      <c r="B46" s="22" t="s">
        <v>34</v>
      </c>
      <c r="C46" s="22">
        <v>854</v>
      </c>
      <c r="D46" s="22">
        <v>129</v>
      </c>
      <c r="E46" s="22">
        <v>310903</v>
      </c>
      <c r="F46" s="22">
        <v>7.83</v>
      </c>
      <c r="G46" s="22">
        <v>16875</v>
      </c>
    </row>
    <row r="47" spans="1:7">
      <c r="A47" s="23">
        <v>45551</v>
      </c>
      <c r="B47" s="22" t="s">
        <v>15</v>
      </c>
      <c r="C47" s="22">
        <v>681</v>
      </c>
      <c r="D47" s="22">
        <v>210</v>
      </c>
      <c r="E47" s="22">
        <v>248581</v>
      </c>
      <c r="F47" s="22">
        <v>8.76</v>
      </c>
      <c r="G47" s="22">
        <v>9567</v>
      </c>
    </row>
    <row r="48" spans="1:7">
      <c r="A48" s="23">
        <v>45551</v>
      </c>
      <c r="B48" s="22" t="s">
        <v>27</v>
      </c>
      <c r="C48" s="22">
        <v>1373</v>
      </c>
      <c r="D48" s="22">
        <v>82</v>
      </c>
      <c r="E48" s="22">
        <v>371015</v>
      </c>
      <c r="F48" s="22">
        <v>9.52</v>
      </c>
      <c r="G48" s="22">
        <v>20306</v>
      </c>
    </row>
    <row r="49" spans="1:7">
      <c r="A49" s="23">
        <v>45551</v>
      </c>
      <c r="B49" s="22" t="s">
        <v>34</v>
      </c>
      <c r="C49" s="22">
        <v>685</v>
      </c>
      <c r="D49" s="22">
        <v>285</v>
      </c>
      <c r="E49" s="22">
        <v>177452</v>
      </c>
      <c r="F49" s="22">
        <v>3.36</v>
      </c>
      <c r="G49" s="22">
        <v>21134</v>
      </c>
    </row>
    <row r="50" spans="1:7">
      <c r="A50" s="23">
        <v>45558</v>
      </c>
      <c r="B50" s="22" t="s">
        <v>15</v>
      </c>
      <c r="C50" s="22">
        <v>1290</v>
      </c>
      <c r="D50" s="22">
        <v>177</v>
      </c>
      <c r="E50" s="22">
        <v>80745</v>
      </c>
      <c r="F50" s="22">
        <v>9.2200000000000006</v>
      </c>
      <c r="G50" s="22">
        <v>26872</v>
      </c>
    </row>
    <row r="51" spans="1:7">
      <c r="A51" s="23">
        <v>45558</v>
      </c>
      <c r="B51" s="22" t="s">
        <v>27</v>
      </c>
      <c r="C51" s="22">
        <v>1437</v>
      </c>
      <c r="D51" s="22">
        <v>239</v>
      </c>
      <c r="E51" s="22">
        <v>362441</v>
      </c>
      <c r="F51" s="22">
        <v>5.57</v>
      </c>
      <c r="G51" s="22">
        <v>10253</v>
      </c>
    </row>
    <row r="52" spans="1:7">
      <c r="A52" s="23">
        <v>45558</v>
      </c>
      <c r="B52" s="22" t="s">
        <v>34</v>
      </c>
      <c r="C52" s="22">
        <v>769</v>
      </c>
      <c r="D52" s="22">
        <v>295</v>
      </c>
      <c r="E52" s="22">
        <v>344771</v>
      </c>
      <c r="F52" s="22">
        <v>8.06</v>
      </c>
      <c r="G52" s="22">
        <v>23963</v>
      </c>
    </row>
    <row r="53" spans="1:7">
      <c r="A53" s="23">
        <v>45565</v>
      </c>
      <c r="B53" s="22" t="s">
        <v>15</v>
      </c>
      <c r="C53" s="22">
        <v>1416</v>
      </c>
      <c r="D53" s="22">
        <v>284</v>
      </c>
      <c r="E53" s="22">
        <v>374952</v>
      </c>
      <c r="F53" s="22">
        <v>3.45</v>
      </c>
      <c r="G53" s="22">
        <v>11335</v>
      </c>
    </row>
    <row r="54" spans="1:7">
      <c r="A54" s="23">
        <v>45565</v>
      </c>
      <c r="B54" s="22" t="s">
        <v>27</v>
      </c>
      <c r="C54" s="22">
        <v>998</v>
      </c>
      <c r="D54" s="22">
        <v>154</v>
      </c>
      <c r="E54" s="22">
        <v>179781</v>
      </c>
      <c r="F54" s="22">
        <v>9.58</v>
      </c>
      <c r="G54" s="22">
        <v>12115</v>
      </c>
    </row>
    <row r="55" spans="1:7">
      <c r="A55" s="23">
        <v>45565</v>
      </c>
      <c r="B55" s="22" t="s">
        <v>34</v>
      </c>
      <c r="C55" s="22">
        <v>1421</v>
      </c>
      <c r="D55" s="22">
        <v>246</v>
      </c>
      <c r="E55" s="22">
        <v>358581</v>
      </c>
      <c r="F55" s="22">
        <v>8.8800000000000008</v>
      </c>
      <c r="G55" s="22">
        <v>24358</v>
      </c>
    </row>
    <row r="56" spans="1:7">
      <c r="A56" s="23">
        <v>45572</v>
      </c>
      <c r="B56" s="22" t="s">
        <v>15</v>
      </c>
      <c r="C56" s="22">
        <v>764</v>
      </c>
      <c r="D56" s="22">
        <v>205</v>
      </c>
      <c r="E56" s="22">
        <v>319294</v>
      </c>
      <c r="F56" s="22">
        <v>6.23</v>
      </c>
      <c r="G56" s="22">
        <v>12181</v>
      </c>
    </row>
    <row r="57" spans="1:7">
      <c r="A57" s="23">
        <v>45572</v>
      </c>
      <c r="B57" s="22" t="s">
        <v>27</v>
      </c>
      <c r="C57" s="22">
        <v>678</v>
      </c>
      <c r="D57" s="22">
        <v>124</v>
      </c>
      <c r="E57" s="22">
        <v>192022</v>
      </c>
      <c r="F57" s="22">
        <v>8.4499999999999993</v>
      </c>
      <c r="G57" s="22">
        <v>17729</v>
      </c>
    </row>
    <row r="58" spans="1:7">
      <c r="A58" s="23">
        <v>45572</v>
      </c>
      <c r="B58" s="22" t="s">
        <v>34</v>
      </c>
      <c r="C58" s="22">
        <v>1328</v>
      </c>
      <c r="D58" s="22">
        <v>103</v>
      </c>
      <c r="E58" s="22">
        <v>151462</v>
      </c>
      <c r="F58" s="22">
        <v>8.4</v>
      </c>
      <c r="G58" s="22">
        <v>10881</v>
      </c>
    </row>
    <row r="59" spans="1:7">
      <c r="A59" s="23">
        <v>45579</v>
      </c>
      <c r="B59" s="22" t="s">
        <v>15</v>
      </c>
      <c r="C59" s="22">
        <v>1161</v>
      </c>
      <c r="D59" s="22">
        <v>269</v>
      </c>
      <c r="E59" s="22">
        <v>188193</v>
      </c>
      <c r="F59" s="22">
        <v>7.34</v>
      </c>
      <c r="G59" s="22">
        <v>18576</v>
      </c>
    </row>
    <row r="60" spans="1:7">
      <c r="A60" s="23">
        <v>45579</v>
      </c>
      <c r="B60" s="22" t="s">
        <v>27</v>
      </c>
      <c r="C60" s="22">
        <v>588</v>
      </c>
      <c r="D60" s="22">
        <v>52</v>
      </c>
      <c r="E60" s="22">
        <v>292040</v>
      </c>
      <c r="F60" s="22">
        <v>8.14</v>
      </c>
      <c r="G60" s="22">
        <v>9383</v>
      </c>
    </row>
    <row r="61" spans="1:7">
      <c r="A61" s="23">
        <v>45579</v>
      </c>
      <c r="B61" s="22" t="s">
        <v>34</v>
      </c>
      <c r="C61" s="22">
        <v>1457</v>
      </c>
      <c r="D61" s="22">
        <v>215</v>
      </c>
      <c r="E61" s="22">
        <v>325325</v>
      </c>
      <c r="F61" s="22">
        <v>9.58</v>
      </c>
      <c r="G61" s="22">
        <v>14178</v>
      </c>
    </row>
    <row r="62" spans="1:7">
      <c r="A62" s="23">
        <v>45586</v>
      </c>
      <c r="B62" s="22" t="s">
        <v>15</v>
      </c>
      <c r="C62" s="22">
        <v>1190</v>
      </c>
      <c r="D62" s="22">
        <v>242</v>
      </c>
      <c r="E62" s="22">
        <v>86849</v>
      </c>
      <c r="F62" s="22">
        <v>8.06</v>
      </c>
      <c r="G62" s="22">
        <v>21254</v>
      </c>
    </row>
    <row r="63" spans="1:7">
      <c r="A63" s="23">
        <v>45586</v>
      </c>
      <c r="B63" s="22" t="s">
        <v>27</v>
      </c>
      <c r="C63" s="22">
        <v>886</v>
      </c>
      <c r="D63" s="22">
        <v>124</v>
      </c>
      <c r="E63" s="22">
        <v>141161</v>
      </c>
      <c r="F63" s="22">
        <v>8.19</v>
      </c>
      <c r="G63" s="22">
        <v>14215</v>
      </c>
    </row>
    <row r="64" spans="1:7">
      <c r="A64" s="23">
        <v>45586</v>
      </c>
      <c r="B64" s="22" t="s">
        <v>34</v>
      </c>
      <c r="C64" s="22">
        <v>1237</v>
      </c>
      <c r="D64" s="22">
        <v>155</v>
      </c>
      <c r="E64" s="22">
        <v>149916</v>
      </c>
      <c r="F64" s="22">
        <v>4.4800000000000004</v>
      </c>
      <c r="G64" s="22">
        <v>16921</v>
      </c>
    </row>
    <row r="65" spans="1:7">
      <c r="A65" s="23">
        <v>45593</v>
      </c>
      <c r="B65" s="22" t="s">
        <v>15</v>
      </c>
      <c r="C65" s="22">
        <v>1435</v>
      </c>
      <c r="D65" s="22">
        <v>261</v>
      </c>
      <c r="E65" s="22">
        <v>308533</v>
      </c>
      <c r="F65" s="22">
        <v>4.5199999999999996</v>
      </c>
      <c r="G65" s="22">
        <v>25130</v>
      </c>
    </row>
    <row r="66" spans="1:7">
      <c r="A66" s="23">
        <v>45593</v>
      </c>
      <c r="B66" s="22" t="s">
        <v>27</v>
      </c>
      <c r="C66" s="22">
        <v>746</v>
      </c>
      <c r="D66" s="22">
        <v>282</v>
      </c>
      <c r="E66" s="22">
        <v>293894</v>
      </c>
      <c r="F66" s="22">
        <v>5.42</v>
      </c>
      <c r="G66" s="22">
        <v>25537</v>
      </c>
    </row>
    <row r="67" spans="1:7">
      <c r="A67" s="23">
        <v>45593</v>
      </c>
      <c r="B67" s="22" t="s">
        <v>34</v>
      </c>
      <c r="C67" s="22">
        <v>759</v>
      </c>
      <c r="D67" s="22">
        <v>216</v>
      </c>
      <c r="E67" s="22">
        <v>147656</v>
      </c>
      <c r="F67" s="22">
        <v>4.08</v>
      </c>
      <c r="G67" s="22">
        <v>24943</v>
      </c>
    </row>
    <row r="68" spans="1:7">
      <c r="A68" s="23">
        <v>45600</v>
      </c>
      <c r="B68" s="22" t="s">
        <v>15</v>
      </c>
      <c r="C68" s="22">
        <v>1437</v>
      </c>
      <c r="D68" s="22">
        <v>235</v>
      </c>
      <c r="E68" s="22">
        <v>326791</v>
      </c>
      <c r="F68" s="22">
        <v>4.0599999999999996</v>
      </c>
      <c r="G68" s="22">
        <v>14563</v>
      </c>
    </row>
    <row r="69" spans="1:7">
      <c r="A69" s="23">
        <v>45600</v>
      </c>
      <c r="B69" s="22" t="s">
        <v>27</v>
      </c>
      <c r="C69" s="22">
        <v>1463</v>
      </c>
      <c r="D69" s="22">
        <v>73</v>
      </c>
      <c r="E69" s="22">
        <v>348877</v>
      </c>
      <c r="F69" s="22">
        <v>9.91</v>
      </c>
      <c r="G69" s="22">
        <v>26273</v>
      </c>
    </row>
    <row r="70" spans="1:7">
      <c r="A70" s="23">
        <v>45600</v>
      </c>
      <c r="B70" s="22" t="s">
        <v>34</v>
      </c>
      <c r="C70" s="22">
        <v>1208</v>
      </c>
      <c r="D70" s="22">
        <v>224</v>
      </c>
      <c r="E70" s="22">
        <v>122730</v>
      </c>
      <c r="F70" s="22">
        <v>8.7200000000000006</v>
      </c>
      <c r="G70" s="22">
        <v>10858</v>
      </c>
    </row>
    <row r="71" spans="1:7">
      <c r="A71" s="23">
        <v>45607</v>
      </c>
      <c r="B71" s="22" t="s">
        <v>15</v>
      </c>
      <c r="C71" s="22">
        <v>1391</v>
      </c>
      <c r="D71" s="22">
        <v>187</v>
      </c>
      <c r="E71" s="22">
        <v>306508</v>
      </c>
      <c r="F71" s="22">
        <v>8.3800000000000008</v>
      </c>
      <c r="G71" s="22">
        <v>25038</v>
      </c>
    </row>
    <row r="72" spans="1:7">
      <c r="A72" s="23">
        <v>45607</v>
      </c>
      <c r="B72" s="22" t="s">
        <v>27</v>
      </c>
      <c r="C72" s="22">
        <v>655</v>
      </c>
      <c r="D72" s="22">
        <v>123</v>
      </c>
      <c r="E72" s="22">
        <v>202472</v>
      </c>
      <c r="F72" s="22">
        <v>7.56</v>
      </c>
      <c r="G72" s="22">
        <v>9092</v>
      </c>
    </row>
    <row r="73" spans="1:7">
      <c r="A73" s="23">
        <v>45607</v>
      </c>
      <c r="B73" s="22" t="s">
        <v>34</v>
      </c>
      <c r="C73" s="22">
        <v>1148</v>
      </c>
      <c r="D73" s="22">
        <v>90</v>
      </c>
      <c r="E73" s="22">
        <v>227249</v>
      </c>
      <c r="F73" s="22">
        <v>7.24</v>
      </c>
      <c r="G73" s="22">
        <v>17662</v>
      </c>
    </row>
    <row r="74" spans="1:7">
      <c r="A74" s="23">
        <v>45614</v>
      </c>
      <c r="B74" s="22" t="s">
        <v>15</v>
      </c>
      <c r="C74" s="22">
        <v>946</v>
      </c>
      <c r="D74" s="22">
        <v>270</v>
      </c>
      <c r="E74" s="22">
        <v>246567</v>
      </c>
      <c r="F74" s="22">
        <v>4.53</v>
      </c>
      <c r="G74" s="22">
        <v>5924</v>
      </c>
    </row>
    <row r="75" spans="1:7">
      <c r="A75" s="23">
        <v>45614</v>
      </c>
      <c r="B75" s="22" t="s">
        <v>27</v>
      </c>
      <c r="C75" s="22">
        <v>791</v>
      </c>
      <c r="D75" s="22">
        <v>214</v>
      </c>
      <c r="E75" s="22">
        <v>114738</v>
      </c>
      <c r="F75" s="22">
        <v>6.62</v>
      </c>
      <c r="G75" s="22">
        <v>25347</v>
      </c>
    </row>
    <row r="76" spans="1:7">
      <c r="A76" s="23">
        <v>45614</v>
      </c>
      <c r="B76" s="22" t="s">
        <v>34</v>
      </c>
      <c r="C76" s="22">
        <v>793</v>
      </c>
      <c r="D76" s="22">
        <v>111</v>
      </c>
      <c r="E76" s="22">
        <v>333500</v>
      </c>
      <c r="F76" s="22">
        <v>6.36</v>
      </c>
      <c r="G76" s="22">
        <v>8910</v>
      </c>
    </row>
    <row r="77" spans="1:7">
      <c r="A77" s="23">
        <v>45621</v>
      </c>
      <c r="B77" s="22" t="s">
        <v>15</v>
      </c>
      <c r="C77" s="22">
        <v>663</v>
      </c>
      <c r="D77" s="22">
        <v>213</v>
      </c>
      <c r="E77" s="22">
        <v>352677</v>
      </c>
      <c r="F77" s="22">
        <v>9</v>
      </c>
      <c r="G77" s="22">
        <v>20438</v>
      </c>
    </row>
    <row r="78" spans="1:7">
      <c r="A78" s="23">
        <v>45621</v>
      </c>
      <c r="B78" s="22" t="s">
        <v>27</v>
      </c>
      <c r="C78" s="22">
        <v>954</v>
      </c>
      <c r="D78" s="22">
        <v>271</v>
      </c>
      <c r="E78" s="22">
        <v>160936</v>
      </c>
      <c r="F78" s="22">
        <v>8.83</v>
      </c>
      <c r="G78" s="22">
        <v>8760</v>
      </c>
    </row>
    <row r="79" spans="1:7">
      <c r="A79" s="23">
        <v>45621</v>
      </c>
      <c r="B79" s="22" t="s">
        <v>34</v>
      </c>
      <c r="C79" s="22">
        <v>1313</v>
      </c>
      <c r="D79" s="22">
        <v>159</v>
      </c>
      <c r="E79" s="22">
        <v>197183</v>
      </c>
      <c r="F79" s="22">
        <v>9.7100000000000009</v>
      </c>
      <c r="G79" s="22">
        <v>6625</v>
      </c>
    </row>
    <row r="80" spans="1:7">
      <c r="A80" s="23">
        <v>45628</v>
      </c>
      <c r="B80" s="22" t="s">
        <v>15</v>
      </c>
      <c r="C80" s="22">
        <v>895</v>
      </c>
      <c r="D80" s="22">
        <v>87</v>
      </c>
      <c r="E80" s="22">
        <v>171271</v>
      </c>
      <c r="F80" s="22">
        <v>6.68</v>
      </c>
      <c r="G80" s="22">
        <v>23329</v>
      </c>
    </row>
    <row r="81" spans="1:7">
      <c r="A81" s="23">
        <v>45628</v>
      </c>
      <c r="B81" s="22" t="s">
        <v>27</v>
      </c>
      <c r="C81" s="22">
        <v>1027</v>
      </c>
      <c r="D81" s="22">
        <v>156</v>
      </c>
      <c r="E81" s="22">
        <v>111293</v>
      </c>
      <c r="F81" s="22">
        <v>5.51</v>
      </c>
      <c r="G81" s="22">
        <v>7299</v>
      </c>
    </row>
    <row r="82" spans="1:7">
      <c r="A82" s="23">
        <v>45628</v>
      </c>
      <c r="B82" s="22" t="s">
        <v>34</v>
      </c>
      <c r="C82" s="22">
        <v>990</v>
      </c>
      <c r="D82" s="22">
        <v>286</v>
      </c>
      <c r="E82" s="22">
        <v>351493</v>
      </c>
      <c r="F82" s="22">
        <v>7.97</v>
      </c>
      <c r="G82" s="22">
        <v>14496</v>
      </c>
    </row>
    <row r="83" spans="1:7">
      <c r="A83" s="23">
        <v>45635</v>
      </c>
      <c r="B83" s="22" t="s">
        <v>15</v>
      </c>
      <c r="C83" s="22">
        <v>875</v>
      </c>
      <c r="D83" s="22">
        <v>264</v>
      </c>
      <c r="E83" s="22">
        <v>345631</v>
      </c>
      <c r="F83" s="22">
        <v>9.18</v>
      </c>
      <c r="G83" s="22">
        <v>25703</v>
      </c>
    </row>
    <row r="84" spans="1:7">
      <c r="A84" s="23">
        <v>45635</v>
      </c>
      <c r="B84" s="22" t="s">
        <v>27</v>
      </c>
      <c r="C84" s="22">
        <v>599</v>
      </c>
      <c r="D84" s="22">
        <v>194</v>
      </c>
      <c r="E84" s="22">
        <v>105622</v>
      </c>
      <c r="F84" s="22">
        <v>6.44</v>
      </c>
      <c r="G84" s="22">
        <v>15108</v>
      </c>
    </row>
    <row r="85" spans="1:7">
      <c r="A85" s="23">
        <v>45635</v>
      </c>
      <c r="B85" s="22" t="s">
        <v>34</v>
      </c>
      <c r="C85" s="22">
        <v>630</v>
      </c>
      <c r="D85" s="22">
        <v>248</v>
      </c>
      <c r="E85" s="22">
        <v>119054</v>
      </c>
      <c r="F85" s="22">
        <v>5.0199999999999996</v>
      </c>
      <c r="G85" s="22">
        <v>18867</v>
      </c>
    </row>
    <row r="86" spans="1:7">
      <c r="A86" s="23">
        <v>45642</v>
      </c>
      <c r="B86" s="22" t="s">
        <v>15</v>
      </c>
      <c r="C86" s="22">
        <v>1350</v>
      </c>
      <c r="D86" s="22">
        <v>233</v>
      </c>
      <c r="E86" s="22">
        <v>171670</v>
      </c>
      <c r="F86" s="22">
        <v>4.53</v>
      </c>
      <c r="G86" s="22">
        <v>17574</v>
      </c>
    </row>
    <row r="87" spans="1:7">
      <c r="A87" s="23">
        <v>45642</v>
      </c>
      <c r="B87" s="22" t="s">
        <v>27</v>
      </c>
      <c r="C87" s="22">
        <v>632</v>
      </c>
      <c r="D87" s="22">
        <v>155</v>
      </c>
      <c r="E87" s="22">
        <v>170432</v>
      </c>
      <c r="F87" s="22">
        <v>9.17</v>
      </c>
      <c r="G87" s="22">
        <v>12840</v>
      </c>
    </row>
    <row r="88" spans="1:7">
      <c r="A88" s="23">
        <v>45642</v>
      </c>
      <c r="B88" s="22" t="s">
        <v>34</v>
      </c>
      <c r="C88" s="22">
        <v>1182</v>
      </c>
      <c r="D88" s="22">
        <v>83</v>
      </c>
      <c r="E88" s="22">
        <v>140300</v>
      </c>
      <c r="F88" s="22">
        <v>3.27</v>
      </c>
      <c r="G88" s="22">
        <v>21079</v>
      </c>
    </row>
    <row r="89" spans="1:7">
      <c r="A89" s="23">
        <v>45649</v>
      </c>
      <c r="B89" s="22" t="s">
        <v>15</v>
      </c>
      <c r="C89" s="22">
        <v>661</v>
      </c>
      <c r="D89" s="22">
        <v>94</v>
      </c>
      <c r="E89" s="22">
        <v>116538</v>
      </c>
      <c r="F89" s="22">
        <v>5.31</v>
      </c>
      <c r="G89" s="22">
        <v>23486</v>
      </c>
    </row>
    <row r="90" spans="1:7">
      <c r="A90" s="23">
        <v>45649</v>
      </c>
      <c r="B90" s="22" t="s">
        <v>27</v>
      </c>
      <c r="C90" s="22">
        <v>1360</v>
      </c>
      <c r="D90" s="22">
        <v>227</v>
      </c>
      <c r="E90" s="22">
        <v>176902</v>
      </c>
      <c r="F90" s="22">
        <v>6.03</v>
      </c>
      <c r="G90" s="22">
        <v>5960</v>
      </c>
    </row>
    <row r="91" spans="1:7">
      <c r="A91" s="23">
        <v>45649</v>
      </c>
      <c r="B91" s="22" t="s">
        <v>34</v>
      </c>
      <c r="C91" s="22">
        <v>935</v>
      </c>
      <c r="D91" s="22">
        <v>85</v>
      </c>
      <c r="E91" s="22">
        <v>326821</v>
      </c>
      <c r="F91" s="22">
        <v>8.89</v>
      </c>
      <c r="G91" s="22">
        <v>13301</v>
      </c>
    </row>
    <row r="92" spans="1:7">
      <c r="A92" s="23">
        <v>45656</v>
      </c>
      <c r="B92" s="22" t="s">
        <v>15</v>
      </c>
      <c r="C92" s="22">
        <v>664</v>
      </c>
      <c r="D92" s="22">
        <v>251</v>
      </c>
      <c r="E92" s="22">
        <v>240598</v>
      </c>
      <c r="F92" s="22">
        <v>4.79</v>
      </c>
      <c r="G92" s="22">
        <v>10563</v>
      </c>
    </row>
    <row r="93" spans="1:7">
      <c r="A93" s="23">
        <v>45656</v>
      </c>
      <c r="B93" s="22" t="s">
        <v>27</v>
      </c>
      <c r="C93" s="22">
        <v>1490</v>
      </c>
      <c r="D93" s="22">
        <v>103</v>
      </c>
      <c r="E93" s="22">
        <v>373274</v>
      </c>
      <c r="F93" s="22">
        <v>4.8</v>
      </c>
      <c r="G93" s="22">
        <v>19949</v>
      </c>
    </row>
    <row r="94" spans="1:7">
      <c r="A94" s="23">
        <v>45656</v>
      </c>
      <c r="B94" s="22" t="s">
        <v>34</v>
      </c>
      <c r="C94" s="22">
        <v>601</v>
      </c>
      <c r="D94" s="22">
        <v>64</v>
      </c>
      <c r="E94" s="22">
        <v>123272</v>
      </c>
      <c r="F94" s="22">
        <v>4.07</v>
      </c>
      <c r="G94" s="22">
        <v>14273</v>
      </c>
    </row>
    <row r="95" spans="1:7">
      <c r="A95" s="23">
        <v>45663</v>
      </c>
      <c r="B95" s="22" t="s">
        <v>15</v>
      </c>
      <c r="C95" s="22">
        <v>613</v>
      </c>
      <c r="D95" s="22">
        <v>170</v>
      </c>
      <c r="E95" s="22">
        <v>139266</v>
      </c>
      <c r="F95" s="22">
        <v>6.06</v>
      </c>
      <c r="G95" s="22">
        <v>9247</v>
      </c>
    </row>
    <row r="96" spans="1:7">
      <c r="A96" s="23">
        <v>45663</v>
      </c>
      <c r="B96" s="22" t="s">
        <v>27</v>
      </c>
      <c r="C96" s="22">
        <v>1340</v>
      </c>
      <c r="D96" s="22">
        <v>57</v>
      </c>
      <c r="E96" s="22">
        <v>155927</v>
      </c>
      <c r="F96" s="22">
        <v>7.79</v>
      </c>
      <c r="G96" s="22">
        <v>11972</v>
      </c>
    </row>
    <row r="97" spans="1:7">
      <c r="A97" s="23">
        <v>45663</v>
      </c>
      <c r="B97" s="22" t="s">
        <v>34</v>
      </c>
      <c r="C97" s="22">
        <v>953</v>
      </c>
      <c r="D97" s="22">
        <v>228</v>
      </c>
      <c r="E97" s="22">
        <v>258398</v>
      </c>
      <c r="F97" s="22">
        <v>9.0500000000000007</v>
      </c>
      <c r="G97" s="22">
        <v>13314</v>
      </c>
    </row>
    <row r="98" spans="1:7">
      <c r="A98" s="23">
        <v>45670</v>
      </c>
      <c r="B98" s="22" t="s">
        <v>15</v>
      </c>
      <c r="C98" s="22">
        <v>532</v>
      </c>
      <c r="D98" s="22">
        <v>65</v>
      </c>
      <c r="E98" s="22">
        <v>338561</v>
      </c>
      <c r="F98" s="22">
        <v>3.5</v>
      </c>
      <c r="G98" s="22">
        <v>14749</v>
      </c>
    </row>
    <row r="99" spans="1:7">
      <c r="A99" s="23">
        <v>45670</v>
      </c>
      <c r="B99" s="22" t="s">
        <v>27</v>
      </c>
      <c r="C99" s="22">
        <v>1414</v>
      </c>
      <c r="D99" s="22">
        <v>60</v>
      </c>
      <c r="E99" s="22">
        <v>341856</v>
      </c>
      <c r="F99" s="22">
        <v>8.76</v>
      </c>
      <c r="G99" s="22">
        <v>6868</v>
      </c>
    </row>
    <row r="100" spans="1:7">
      <c r="A100" s="23">
        <v>45670</v>
      </c>
      <c r="B100" s="22" t="s">
        <v>34</v>
      </c>
      <c r="C100" s="22">
        <v>685</v>
      </c>
      <c r="D100" s="22">
        <v>165</v>
      </c>
      <c r="E100" s="22">
        <v>175860</v>
      </c>
      <c r="F100" s="22">
        <v>6.26</v>
      </c>
      <c r="G100" s="22">
        <v>6027</v>
      </c>
    </row>
    <row r="101" spans="1:7">
      <c r="A101" s="23">
        <v>45677</v>
      </c>
      <c r="B101" s="22" t="s">
        <v>15</v>
      </c>
      <c r="C101" s="22">
        <v>601</v>
      </c>
      <c r="D101" s="22">
        <v>159</v>
      </c>
      <c r="E101" s="22">
        <v>327722</v>
      </c>
      <c r="F101" s="22">
        <v>3.33</v>
      </c>
      <c r="G101" s="22">
        <v>25267</v>
      </c>
    </row>
    <row r="102" spans="1:7">
      <c r="A102" s="23">
        <v>45677</v>
      </c>
      <c r="B102" s="22" t="s">
        <v>27</v>
      </c>
      <c r="C102" s="22">
        <v>841</v>
      </c>
      <c r="D102" s="22">
        <v>295</v>
      </c>
      <c r="E102" s="22">
        <v>271638</v>
      </c>
      <c r="F102" s="22">
        <v>9.15</v>
      </c>
      <c r="G102" s="22">
        <v>5900</v>
      </c>
    </row>
    <row r="103" spans="1:7">
      <c r="A103" s="23">
        <v>45677</v>
      </c>
      <c r="B103" s="22" t="s">
        <v>34</v>
      </c>
      <c r="C103" s="22">
        <v>1105</v>
      </c>
      <c r="D103" s="22">
        <v>261</v>
      </c>
      <c r="E103" s="22">
        <v>333851</v>
      </c>
      <c r="F103" s="22">
        <v>6.03</v>
      </c>
      <c r="G103" s="22">
        <v>11181</v>
      </c>
    </row>
    <row r="104" spans="1:7">
      <c r="A104" s="23">
        <v>45684</v>
      </c>
      <c r="B104" s="22" t="s">
        <v>15</v>
      </c>
      <c r="C104" s="22">
        <v>566</v>
      </c>
      <c r="D104" s="22">
        <v>225</v>
      </c>
      <c r="E104" s="22">
        <v>368984</v>
      </c>
      <c r="F104" s="22">
        <v>9.82</v>
      </c>
      <c r="G104" s="22">
        <v>9592</v>
      </c>
    </row>
    <row r="105" spans="1:7">
      <c r="A105" s="23">
        <v>45684</v>
      </c>
      <c r="B105" s="22" t="s">
        <v>27</v>
      </c>
      <c r="C105" s="22">
        <v>1149</v>
      </c>
      <c r="D105" s="22">
        <v>280</v>
      </c>
      <c r="E105" s="22">
        <v>167310</v>
      </c>
      <c r="F105" s="22">
        <v>3.7</v>
      </c>
      <c r="G105" s="22">
        <v>5291</v>
      </c>
    </row>
    <row r="106" spans="1:7">
      <c r="A106" s="23">
        <v>45684</v>
      </c>
      <c r="B106" s="22" t="s">
        <v>34</v>
      </c>
      <c r="C106" s="22">
        <v>819</v>
      </c>
      <c r="D106" s="22">
        <v>101</v>
      </c>
      <c r="E106" s="22">
        <v>194811</v>
      </c>
      <c r="F106" s="22">
        <v>3.35</v>
      </c>
      <c r="G106" s="22">
        <v>22244</v>
      </c>
    </row>
    <row r="107" spans="1:7">
      <c r="A107" s="23">
        <v>45691</v>
      </c>
      <c r="B107" s="22" t="s">
        <v>15</v>
      </c>
      <c r="C107" s="22">
        <v>795</v>
      </c>
      <c r="D107" s="22">
        <v>60</v>
      </c>
      <c r="E107" s="22">
        <v>314982</v>
      </c>
      <c r="F107" s="22">
        <v>7.31</v>
      </c>
      <c r="G107" s="22">
        <v>6824</v>
      </c>
    </row>
    <row r="108" spans="1:7">
      <c r="A108" s="23">
        <v>45691</v>
      </c>
      <c r="B108" s="22" t="s">
        <v>27</v>
      </c>
      <c r="C108" s="22">
        <v>681</v>
      </c>
      <c r="D108" s="22">
        <v>158</v>
      </c>
      <c r="E108" s="22">
        <v>75960</v>
      </c>
      <c r="F108" s="22">
        <v>3.13</v>
      </c>
      <c r="G108" s="22">
        <v>24112</v>
      </c>
    </row>
    <row r="109" spans="1:7">
      <c r="A109" s="23">
        <v>45691</v>
      </c>
      <c r="B109" s="22" t="s">
        <v>34</v>
      </c>
      <c r="C109" s="22">
        <v>534</v>
      </c>
      <c r="D109" s="22">
        <v>112</v>
      </c>
      <c r="E109" s="22">
        <v>360759</v>
      </c>
      <c r="F109" s="22">
        <v>4.8899999999999997</v>
      </c>
      <c r="G109" s="22">
        <v>25478</v>
      </c>
    </row>
    <row r="110" spans="1:7">
      <c r="A110" s="23">
        <v>45698</v>
      </c>
      <c r="B110" s="22" t="s">
        <v>15</v>
      </c>
      <c r="C110" s="22">
        <v>1066</v>
      </c>
      <c r="D110" s="22">
        <v>151</v>
      </c>
      <c r="E110" s="22">
        <v>297090</v>
      </c>
      <c r="F110" s="22">
        <v>8.6300000000000008</v>
      </c>
      <c r="G110" s="22">
        <v>11235</v>
      </c>
    </row>
    <row r="111" spans="1:7">
      <c r="A111" s="23">
        <v>45698</v>
      </c>
      <c r="B111" s="22" t="s">
        <v>27</v>
      </c>
      <c r="C111" s="22">
        <v>1270</v>
      </c>
      <c r="D111" s="22">
        <v>162</v>
      </c>
      <c r="E111" s="22">
        <v>92040</v>
      </c>
      <c r="F111" s="22">
        <v>8.0299999999999994</v>
      </c>
      <c r="G111" s="22">
        <v>6120</v>
      </c>
    </row>
    <row r="112" spans="1:7">
      <c r="A112" s="23">
        <v>45698</v>
      </c>
      <c r="B112" s="22" t="s">
        <v>34</v>
      </c>
      <c r="C112" s="22">
        <v>536</v>
      </c>
      <c r="D112" s="22">
        <v>198</v>
      </c>
      <c r="E112" s="22">
        <v>174610</v>
      </c>
      <c r="F112" s="22">
        <v>7.85</v>
      </c>
      <c r="G112" s="22">
        <v>20572</v>
      </c>
    </row>
    <row r="113" spans="1:7">
      <c r="A113" s="23">
        <v>45705</v>
      </c>
      <c r="B113" s="22" t="s">
        <v>15</v>
      </c>
      <c r="C113" s="22">
        <v>819</v>
      </c>
      <c r="D113" s="22">
        <v>95</v>
      </c>
      <c r="E113" s="22">
        <v>177376</v>
      </c>
      <c r="F113" s="22">
        <v>6.12</v>
      </c>
      <c r="G113" s="22">
        <v>14975</v>
      </c>
    </row>
    <row r="114" spans="1:7">
      <c r="A114" s="23">
        <v>45705</v>
      </c>
      <c r="B114" s="22" t="s">
        <v>27</v>
      </c>
      <c r="C114" s="22">
        <v>681</v>
      </c>
      <c r="D114" s="22">
        <v>218</v>
      </c>
      <c r="E114" s="22">
        <v>198882</v>
      </c>
      <c r="F114" s="22">
        <v>7.16</v>
      </c>
      <c r="G114" s="22">
        <v>22234</v>
      </c>
    </row>
    <row r="115" spans="1:7">
      <c r="A115" s="23">
        <v>45705</v>
      </c>
      <c r="B115" s="22" t="s">
        <v>34</v>
      </c>
      <c r="C115" s="22">
        <v>646</v>
      </c>
      <c r="D115" s="22">
        <v>290</v>
      </c>
      <c r="E115" s="22">
        <v>336383</v>
      </c>
      <c r="F115" s="22">
        <v>7.04</v>
      </c>
      <c r="G115" s="22">
        <v>6532</v>
      </c>
    </row>
    <row r="116" spans="1:7">
      <c r="A116" s="23">
        <v>45712</v>
      </c>
      <c r="B116" s="22" t="s">
        <v>15</v>
      </c>
      <c r="C116" s="22">
        <v>645</v>
      </c>
      <c r="D116" s="22">
        <v>267</v>
      </c>
      <c r="E116" s="22">
        <v>346890</v>
      </c>
      <c r="F116" s="22">
        <v>3.71</v>
      </c>
      <c r="G116" s="22">
        <v>24858</v>
      </c>
    </row>
    <row r="117" spans="1:7">
      <c r="A117" s="23">
        <v>45712</v>
      </c>
      <c r="B117" s="22" t="s">
        <v>27</v>
      </c>
      <c r="C117" s="22">
        <v>886</v>
      </c>
      <c r="D117" s="22">
        <v>250</v>
      </c>
      <c r="E117" s="22">
        <v>168170</v>
      </c>
      <c r="F117" s="22">
        <v>4.12</v>
      </c>
      <c r="G117" s="22">
        <v>13883</v>
      </c>
    </row>
    <row r="118" spans="1:7">
      <c r="A118" s="23">
        <v>45712</v>
      </c>
      <c r="B118" s="22" t="s">
        <v>34</v>
      </c>
      <c r="C118" s="22">
        <v>978</v>
      </c>
      <c r="D118" s="22">
        <v>279</v>
      </c>
      <c r="E118" s="22">
        <v>368872</v>
      </c>
      <c r="F118" s="22">
        <v>6.82</v>
      </c>
      <c r="G118" s="22">
        <v>18654</v>
      </c>
    </row>
    <row r="119" spans="1:7">
      <c r="A119" s="23">
        <v>45719</v>
      </c>
      <c r="B119" s="22" t="s">
        <v>15</v>
      </c>
      <c r="C119" s="22">
        <v>1444</v>
      </c>
      <c r="D119" s="22">
        <v>165</v>
      </c>
      <c r="E119" s="22">
        <v>116436</v>
      </c>
      <c r="F119" s="22">
        <v>8.2200000000000006</v>
      </c>
      <c r="G119" s="22">
        <v>25234</v>
      </c>
    </row>
    <row r="120" spans="1:7">
      <c r="A120" s="23">
        <v>45719</v>
      </c>
      <c r="B120" s="22" t="s">
        <v>27</v>
      </c>
      <c r="C120" s="22">
        <v>1234</v>
      </c>
      <c r="D120" s="22">
        <v>228</v>
      </c>
      <c r="E120" s="22">
        <v>127502</v>
      </c>
      <c r="F120" s="22">
        <v>7.71</v>
      </c>
      <c r="G120" s="22">
        <v>6772</v>
      </c>
    </row>
    <row r="121" spans="1:7">
      <c r="A121" s="23">
        <v>45719</v>
      </c>
      <c r="B121" s="22" t="s">
        <v>34</v>
      </c>
      <c r="C121" s="22">
        <v>665</v>
      </c>
      <c r="D121" s="22">
        <v>187</v>
      </c>
      <c r="E121" s="22">
        <v>274567</v>
      </c>
      <c r="F121" s="22">
        <v>7.39</v>
      </c>
      <c r="G121" s="22">
        <v>22428</v>
      </c>
    </row>
    <row r="122" spans="1:7">
      <c r="A122" s="23">
        <v>45726</v>
      </c>
      <c r="B122" s="22" t="s">
        <v>15</v>
      </c>
      <c r="C122" s="22">
        <v>631</v>
      </c>
      <c r="D122" s="22">
        <v>86</v>
      </c>
      <c r="E122" s="22">
        <v>295090</v>
      </c>
      <c r="F122" s="22">
        <v>7.89</v>
      </c>
      <c r="G122" s="22">
        <v>11911</v>
      </c>
    </row>
    <row r="123" spans="1:7">
      <c r="A123" s="23">
        <v>45726</v>
      </c>
      <c r="B123" s="22" t="s">
        <v>27</v>
      </c>
      <c r="C123" s="22">
        <v>1159</v>
      </c>
      <c r="D123" s="22">
        <v>154</v>
      </c>
      <c r="E123" s="22">
        <v>194994</v>
      </c>
      <c r="F123" s="22">
        <v>6.39</v>
      </c>
      <c r="G123" s="22">
        <v>21900</v>
      </c>
    </row>
    <row r="124" spans="1:7">
      <c r="A124" s="23">
        <v>45726</v>
      </c>
      <c r="B124" s="22" t="s">
        <v>34</v>
      </c>
      <c r="C124" s="22">
        <v>950</v>
      </c>
      <c r="D124" s="22">
        <v>185</v>
      </c>
      <c r="E124" s="22">
        <v>340750</v>
      </c>
      <c r="F124" s="22">
        <v>6.77</v>
      </c>
      <c r="G124" s="22">
        <v>25542</v>
      </c>
    </row>
    <row r="125" spans="1:7">
      <c r="A125" s="23">
        <v>45733</v>
      </c>
      <c r="B125" s="22" t="s">
        <v>15</v>
      </c>
      <c r="C125" s="22">
        <v>693</v>
      </c>
      <c r="D125" s="22">
        <v>129</v>
      </c>
      <c r="E125" s="22">
        <v>296031</v>
      </c>
      <c r="F125" s="22">
        <v>3.41</v>
      </c>
      <c r="G125" s="22">
        <v>7140</v>
      </c>
    </row>
    <row r="126" spans="1:7">
      <c r="A126" s="23">
        <v>45733</v>
      </c>
      <c r="B126" s="22" t="s">
        <v>27</v>
      </c>
      <c r="C126" s="22">
        <v>576</v>
      </c>
      <c r="D126" s="22">
        <v>80</v>
      </c>
      <c r="E126" s="22">
        <v>345688</v>
      </c>
      <c r="F126" s="22">
        <v>4.1100000000000003</v>
      </c>
      <c r="G126" s="22">
        <v>20474</v>
      </c>
    </row>
    <row r="127" spans="1:7">
      <c r="A127" s="23">
        <v>45733</v>
      </c>
      <c r="B127" s="22" t="s">
        <v>34</v>
      </c>
      <c r="C127" s="22">
        <v>1274</v>
      </c>
      <c r="D127" s="22">
        <v>146</v>
      </c>
      <c r="E127" s="22">
        <v>263488</v>
      </c>
      <c r="F127" s="22">
        <v>9.58</v>
      </c>
      <c r="G127" s="22">
        <v>8698</v>
      </c>
    </row>
    <row r="128" spans="1:7">
      <c r="A128" s="23">
        <v>45740</v>
      </c>
      <c r="B128" s="22" t="s">
        <v>15</v>
      </c>
      <c r="C128" s="22">
        <v>818</v>
      </c>
      <c r="D128" s="22">
        <v>253</v>
      </c>
      <c r="E128" s="22">
        <v>184911</v>
      </c>
      <c r="F128" s="22">
        <v>3.39</v>
      </c>
      <c r="G128" s="22">
        <v>10402</v>
      </c>
    </row>
    <row r="129" spans="1:7">
      <c r="A129" s="23">
        <v>45740</v>
      </c>
      <c r="B129" s="22" t="s">
        <v>27</v>
      </c>
      <c r="C129" s="22">
        <v>975</v>
      </c>
      <c r="D129" s="22">
        <v>162</v>
      </c>
      <c r="E129" s="22">
        <v>124497</v>
      </c>
      <c r="F129" s="22">
        <v>9.58</v>
      </c>
      <c r="G129" s="22">
        <v>26618</v>
      </c>
    </row>
    <row r="130" spans="1:7">
      <c r="A130" s="23">
        <v>45740</v>
      </c>
      <c r="B130" s="22" t="s">
        <v>34</v>
      </c>
      <c r="C130" s="22">
        <v>1398</v>
      </c>
      <c r="D130" s="22">
        <v>97</v>
      </c>
      <c r="E130" s="22">
        <v>397607</v>
      </c>
      <c r="F130" s="22">
        <v>5.09</v>
      </c>
      <c r="G130" s="22">
        <v>7975</v>
      </c>
    </row>
    <row r="131" spans="1:7">
      <c r="A131" s="23">
        <v>45747</v>
      </c>
      <c r="B131" s="22" t="s">
        <v>15</v>
      </c>
      <c r="C131" s="22">
        <v>591</v>
      </c>
      <c r="D131" s="22">
        <v>155</v>
      </c>
      <c r="E131" s="22">
        <v>138521</v>
      </c>
      <c r="F131" s="22">
        <v>7.85</v>
      </c>
      <c r="G131" s="22">
        <v>19054</v>
      </c>
    </row>
    <row r="132" spans="1:7">
      <c r="A132" s="23">
        <v>45747</v>
      </c>
      <c r="B132" s="22" t="s">
        <v>27</v>
      </c>
      <c r="C132" s="22">
        <v>1232</v>
      </c>
      <c r="D132" s="22">
        <v>254</v>
      </c>
      <c r="E132" s="22">
        <v>107718</v>
      </c>
      <c r="F132" s="22">
        <v>9.7100000000000009</v>
      </c>
      <c r="G132" s="22">
        <v>13740</v>
      </c>
    </row>
    <row r="133" spans="1:7">
      <c r="A133" s="23">
        <v>45747</v>
      </c>
      <c r="B133" s="22" t="s">
        <v>34</v>
      </c>
      <c r="C133" s="22">
        <v>1425</v>
      </c>
      <c r="D133" s="22">
        <v>58</v>
      </c>
      <c r="E133" s="22">
        <v>202234</v>
      </c>
      <c r="F133" s="22">
        <v>6.67</v>
      </c>
      <c r="G133" s="22">
        <v>18442</v>
      </c>
    </row>
    <row r="134" spans="1:7">
      <c r="A134" s="23">
        <v>45754</v>
      </c>
      <c r="B134" s="22" t="s">
        <v>15</v>
      </c>
      <c r="C134" s="22">
        <v>1417</v>
      </c>
      <c r="D134" s="22">
        <v>80</v>
      </c>
      <c r="E134" s="22">
        <v>340987</v>
      </c>
      <c r="F134" s="22">
        <v>6.13</v>
      </c>
      <c r="G134" s="22">
        <v>10104</v>
      </c>
    </row>
    <row r="135" spans="1:7">
      <c r="A135" s="23">
        <v>45754</v>
      </c>
      <c r="B135" s="22" t="s">
        <v>27</v>
      </c>
      <c r="C135" s="22">
        <v>1222</v>
      </c>
      <c r="D135" s="22">
        <v>208</v>
      </c>
      <c r="E135" s="22">
        <v>340098</v>
      </c>
      <c r="F135" s="22">
        <v>7.34</v>
      </c>
      <c r="G135" s="22">
        <v>21771</v>
      </c>
    </row>
    <row r="136" spans="1:7">
      <c r="A136" s="23">
        <v>45754</v>
      </c>
      <c r="B136" s="22" t="s">
        <v>34</v>
      </c>
      <c r="C136" s="22">
        <v>1071</v>
      </c>
      <c r="D136" s="22">
        <v>131</v>
      </c>
      <c r="E136" s="22">
        <v>254727</v>
      </c>
      <c r="F136" s="22">
        <v>6.87</v>
      </c>
      <c r="G136" s="22">
        <v>22191</v>
      </c>
    </row>
    <row r="137" spans="1:7">
      <c r="A137" s="23">
        <v>45761</v>
      </c>
      <c r="B137" s="22" t="s">
        <v>15</v>
      </c>
      <c r="C137" s="22">
        <v>772</v>
      </c>
      <c r="D137" s="22">
        <v>82</v>
      </c>
      <c r="E137" s="22">
        <v>345659</v>
      </c>
      <c r="F137" s="22">
        <v>3.52</v>
      </c>
      <c r="G137" s="22">
        <v>27753</v>
      </c>
    </row>
    <row r="138" spans="1:7">
      <c r="A138" s="23">
        <v>45761</v>
      </c>
      <c r="B138" s="22" t="s">
        <v>27</v>
      </c>
      <c r="C138" s="22">
        <v>1472</v>
      </c>
      <c r="D138" s="22">
        <v>137</v>
      </c>
      <c r="E138" s="22">
        <v>213950</v>
      </c>
      <c r="F138" s="22">
        <v>6.96</v>
      </c>
      <c r="G138" s="22">
        <v>23736</v>
      </c>
    </row>
    <row r="139" spans="1:7">
      <c r="A139" s="23">
        <v>45761</v>
      </c>
      <c r="B139" s="22" t="s">
        <v>34</v>
      </c>
      <c r="C139" s="22">
        <v>1472</v>
      </c>
      <c r="D139" s="22">
        <v>281</v>
      </c>
      <c r="E139" s="22">
        <v>258115</v>
      </c>
      <c r="F139" s="22">
        <v>7.23</v>
      </c>
      <c r="G139" s="22">
        <v>27393</v>
      </c>
    </row>
    <row r="140" spans="1:7">
      <c r="A140" s="23">
        <v>45768</v>
      </c>
      <c r="B140" s="22" t="s">
        <v>15</v>
      </c>
      <c r="C140" s="22">
        <v>585</v>
      </c>
      <c r="D140" s="22">
        <v>232</v>
      </c>
      <c r="E140" s="22">
        <v>321258</v>
      </c>
      <c r="F140" s="22">
        <v>7.42</v>
      </c>
      <c r="G140" s="22">
        <v>10343</v>
      </c>
    </row>
    <row r="141" spans="1:7">
      <c r="A141" s="23">
        <v>45768</v>
      </c>
      <c r="B141" s="22" t="s">
        <v>27</v>
      </c>
      <c r="C141" s="22">
        <v>747</v>
      </c>
      <c r="D141" s="22">
        <v>261</v>
      </c>
      <c r="E141" s="22">
        <v>338650</v>
      </c>
      <c r="F141" s="22">
        <v>7.73</v>
      </c>
      <c r="G141" s="22">
        <v>25259</v>
      </c>
    </row>
    <row r="142" spans="1:7">
      <c r="A142" s="23">
        <v>45768</v>
      </c>
      <c r="B142" s="22" t="s">
        <v>34</v>
      </c>
      <c r="C142" s="22">
        <v>1113</v>
      </c>
      <c r="D142" s="22">
        <v>224</v>
      </c>
      <c r="E142" s="22">
        <v>272989</v>
      </c>
      <c r="F142" s="22">
        <v>5.13</v>
      </c>
      <c r="G142" s="22">
        <v>24827</v>
      </c>
    </row>
    <row r="143" spans="1:7">
      <c r="A143" s="23">
        <v>45775</v>
      </c>
      <c r="B143" s="22" t="s">
        <v>15</v>
      </c>
      <c r="C143" s="22">
        <v>1100</v>
      </c>
      <c r="D143" s="22">
        <v>117</v>
      </c>
      <c r="E143" s="22">
        <v>260204</v>
      </c>
      <c r="F143" s="22">
        <v>4.4000000000000004</v>
      </c>
      <c r="G143" s="22">
        <v>11908</v>
      </c>
    </row>
    <row r="144" spans="1:7">
      <c r="A144" s="23">
        <v>45775</v>
      </c>
      <c r="B144" s="22" t="s">
        <v>27</v>
      </c>
      <c r="C144" s="22">
        <v>751</v>
      </c>
      <c r="D144" s="22">
        <v>170</v>
      </c>
      <c r="E144" s="22">
        <v>283278</v>
      </c>
      <c r="F144" s="22">
        <v>3.49</v>
      </c>
      <c r="G144" s="22">
        <v>11005</v>
      </c>
    </row>
    <row r="145" spans="1:7">
      <c r="A145" s="23">
        <v>45775</v>
      </c>
      <c r="B145" s="22" t="s">
        <v>34</v>
      </c>
      <c r="C145" s="22">
        <v>864</v>
      </c>
      <c r="D145" s="22">
        <v>50</v>
      </c>
      <c r="E145" s="22">
        <v>277445</v>
      </c>
      <c r="F145" s="22">
        <v>3.57</v>
      </c>
      <c r="G145" s="22">
        <v>26333</v>
      </c>
    </row>
    <row r="146" spans="1:7">
      <c r="A146" s="23">
        <v>45782</v>
      </c>
      <c r="B146" s="22" t="s">
        <v>15</v>
      </c>
      <c r="C146" s="22">
        <v>1146</v>
      </c>
      <c r="D146" s="22">
        <v>227</v>
      </c>
      <c r="E146" s="22">
        <v>353781</v>
      </c>
      <c r="F146" s="22">
        <v>6.41</v>
      </c>
      <c r="G146" s="22">
        <v>5495</v>
      </c>
    </row>
    <row r="147" spans="1:7">
      <c r="A147" s="23">
        <v>45782</v>
      </c>
      <c r="B147" s="22" t="s">
        <v>27</v>
      </c>
      <c r="C147" s="22">
        <v>883</v>
      </c>
      <c r="D147" s="22">
        <v>207</v>
      </c>
      <c r="E147" s="22">
        <v>265019</v>
      </c>
      <c r="F147" s="22">
        <v>6.04</v>
      </c>
      <c r="G147" s="22">
        <v>15655</v>
      </c>
    </row>
    <row r="148" spans="1:7">
      <c r="A148" s="23">
        <v>45782</v>
      </c>
      <c r="B148" s="22" t="s">
        <v>34</v>
      </c>
      <c r="C148" s="22">
        <v>622</v>
      </c>
      <c r="D148" s="22">
        <v>163</v>
      </c>
      <c r="E148" s="22">
        <v>231925</v>
      </c>
      <c r="F148" s="22">
        <v>9.18</v>
      </c>
      <c r="G148" s="22">
        <v>13763</v>
      </c>
    </row>
    <row r="149" spans="1:7">
      <c r="A149" s="23">
        <v>45789</v>
      </c>
      <c r="B149" s="22" t="s">
        <v>15</v>
      </c>
      <c r="C149" s="22">
        <v>837</v>
      </c>
      <c r="D149" s="22">
        <v>261</v>
      </c>
      <c r="E149" s="22">
        <v>366149</v>
      </c>
      <c r="F149" s="22">
        <v>6.54</v>
      </c>
      <c r="G149" s="22">
        <v>26073</v>
      </c>
    </row>
    <row r="150" spans="1:7">
      <c r="A150" s="23">
        <v>45789</v>
      </c>
      <c r="B150" s="22" t="s">
        <v>27</v>
      </c>
      <c r="C150" s="22">
        <v>544</v>
      </c>
      <c r="D150" s="22">
        <v>97</v>
      </c>
      <c r="E150" s="22">
        <v>168375</v>
      </c>
      <c r="F150" s="22">
        <v>8.66</v>
      </c>
      <c r="G150" s="22">
        <v>12774</v>
      </c>
    </row>
    <row r="151" spans="1:7">
      <c r="A151" s="23">
        <v>45789</v>
      </c>
      <c r="B151" s="22" t="s">
        <v>34</v>
      </c>
      <c r="C151" s="22">
        <v>624</v>
      </c>
      <c r="D151" s="22">
        <v>247</v>
      </c>
      <c r="E151" s="22">
        <v>252763</v>
      </c>
      <c r="F151" s="22">
        <v>3.89</v>
      </c>
      <c r="G151" s="22">
        <v>19000</v>
      </c>
    </row>
    <row r="152" spans="1:7">
      <c r="A152" s="23">
        <v>45796</v>
      </c>
      <c r="B152" s="22" t="s">
        <v>15</v>
      </c>
      <c r="C152" s="22">
        <v>1073</v>
      </c>
      <c r="D152" s="22">
        <v>141</v>
      </c>
      <c r="E152" s="22">
        <v>118393</v>
      </c>
      <c r="F152" s="22">
        <v>7.95</v>
      </c>
      <c r="G152" s="22">
        <v>14051</v>
      </c>
    </row>
    <row r="153" spans="1:7">
      <c r="A153" s="23">
        <v>45796</v>
      </c>
      <c r="B153" s="22" t="s">
        <v>27</v>
      </c>
      <c r="C153" s="22">
        <v>1430</v>
      </c>
      <c r="D153" s="22">
        <v>74</v>
      </c>
      <c r="E153" s="22">
        <v>327012</v>
      </c>
      <c r="F153" s="22">
        <v>6.66</v>
      </c>
      <c r="G153" s="22">
        <v>27782</v>
      </c>
    </row>
    <row r="154" spans="1:7">
      <c r="A154" s="23">
        <v>45796</v>
      </c>
      <c r="B154" s="22" t="s">
        <v>34</v>
      </c>
      <c r="C154" s="22">
        <v>1358</v>
      </c>
      <c r="D154" s="22">
        <v>77</v>
      </c>
      <c r="E154" s="22">
        <v>169688</v>
      </c>
      <c r="F154" s="22">
        <v>5.25</v>
      </c>
      <c r="G154" s="22">
        <v>7859</v>
      </c>
    </row>
    <row r="155" spans="1:7">
      <c r="A155" s="23">
        <v>45803</v>
      </c>
      <c r="B155" s="22" t="s">
        <v>15</v>
      </c>
      <c r="C155" s="22">
        <v>1242</v>
      </c>
      <c r="D155" s="22">
        <v>201</v>
      </c>
      <c r="E155" s="22">
        <v>271935</v>
      </c>
      <c r="F155" s="22">
        <v>5.07</v>
      </c>
      <c r="G155" s="22">
        <v>15773</v>
      </c>
    </row>
    <row r="156" spans="1:7">
      <c r="A156" s="23">
        <v>45803</v>
      </c>
      <c r="B156" s="22" t="s">
        <v>27</v>
      </c>
      <c r="C156" s="22">
        <v>1389</v>
      </c>
      <c r="D156" s="22">
        <v>205</v>
      </c>
      <c r="E156" s="22">
        <v>315981</v>
      </c>
      <c r="F156" s="22">
        <v>7.62</v>
      </c>
      <c r="G156" s="22">
        <v>20595</v>
      </c>
    </row>
    <row r="157" spans="1:7">
      <c r="A157" s="23">
        <v>45803</v>
      </c>
      <c r="B157" s="22" t="s">
        <v>34</v>
      </c>
      <c r="C157" s="22">
        <v>826</v>
      </c>
      <c r="D157" s="22">
        <v>142</v>
      </c>
      <c r="E157" s="22">
        <v>341016</v>
      </c>
      <c r="F157" s="22">
        <v>7.44</v>
      </c>
      <c r="G157" s="22">
        <v>12031</v>
      </c>
    </row>
    <row r="158" spans="1:7">
      <c r="A158" s="23">
        <v>45810</v>
      </c>
      <c r="B158" s="22" t="s">
        <v>15</v>
      </c>
      <c r="C158" s="22">
        <v>618</v>
      </c>
      <c r="D158" s="22">
        <v>264</v>
      </c>
      <c r="E158" s="22">
        <v>285164</v>
      </c>
      <c r="F158" s="22">
        <v>4.8600000000000003</v>
      </c>
      <c r="G158" s="22">
        <v>15128</v>
      </c>
    </row>
    <row r="159" spans="1:7">
      <c r="A159" s="23">
        <v>45810</v>
      </c>
      <c r="B159" s="22" t="s">
        <v>27</v>
      </c>
      <c r="C159" s="22">
        <v>1419</v>
      </c>
      <c r="D159" s="22">
        <v>293</v>
      </c>
      <c r="E159" s="22">
        <v>116632</v>
      </c>
      <c r="F159" s="22">
        <v>6.93</v>
      </c>
      <c r="G159" s="22">
        <v>11826</v>
      </c>
    </row>
    <row r="160" spans="1:7">
      <c r="A160" s="23">
        <v>45810</v>
      </c>
      <c r="B160" s="22" t="s">
        <v>34</v>
      </c>
      <c r="C160" s="22">
        <v>637</v>
      </c>
      <c r="D160" s="22">
        <v>68</v>
      </c>
      <c r="E160" s="22">
        <v>115694</v>
      </c>
      <c r="F160" s="22">
        <v>9.99</v>
      </c>
      <c r="G160" s="22">
        <v>12562</v>
      </c>
    </row>
    <row r="161" spans="1:7">
      <c r="A161" s="23">
        <v>45817</v>
      </c>
      <c r="B161" s="22" t="s">
        <v>15</v>
      </c>
      <c r="C161" s="22">
        <v>917</v>
      </c>
      <c r="D161" s="22">
        <v>187</v>
      </c>
      <c r="E161" s="22">
        <v>64444</v>
      </c>
      <c r="F161" s="22">
        <v>5.22</v>
      </c>
      <c r="G161" s="22">
        <v>13013</v>
      </c>
    </row>
    <row r="162" spans="1:7">
      <c r="A162" s="23">
        <v>45817</v>
      </c>
      <c r="B162" s="22" t="s">
        <v>27</v>
      </c>
      <c r="C162" s="22">
        <v>810</v>
      </c>
      <c r="D162" s="22">
        <v>232</v>
      </c>
      <c r="E162" s="22">
        <v>362559</v>
      </c>
      <c r="F162" s="22">
        <v>5.17</v>
      </c>
      <c r="G162" s="22">
        <v>12937</v>
      </c>
    </row>
    <row r="163" spans="1:7">
      <c r="A163" s="23">
        <v>45817</v>
      </c>
      <c r="B163" s="22" t="s">
        <v>34</v>
      </c>
      <c r="C163" s="22">
        <v>1183</v>
      </c>
      <c r="D163" s="22">
        <v>248</v>
      </c>
      <c r="E163" s="22">
        <v>226881</v>
      </c>
      <c r="F163" s="22">
        <v>5.17</v>
      </c>
      <c r="G163" s="22">
        <v>14534</v>
      </c>
    </row>
    <row r="164" spans="1:7">
      <c r="A164" s="23">
        <v>45824</v>
      </c>
      <c r="B164" s="22" t="s">
        <v>15</v>
      </c>
      <c r="C164" s="22">
        <v>765</v>
      </c>
      <c r="D164" s="22">
        <v>67</v>
      </c>
      <c r="E164" s="22">
        <v>283537</v>
      </c>
      <c r="F164" s="22">
        <v>6.18</v>
      </c>
      <c r="G164" s="22">
        <v>8182</v>
      </c>
    </row>
    <row r="165" spans="1:7">
      <c r="A165" s="23">
        <v>45824</v>
      </c>
      <c r="B165" s="22" t="s">
        <v>27</v>
      </c>
      <c r="C165" s="22">
        <v>540</v>
      </c>
      <c r="D165" s="22">
        <v>215</v>
      </c>
      <c r="E165" s="22">
        <v>62837</v>
      </c>
      <c r="F165" s="22">
        <v>5.3</v>
      </c>
      <c r="G165" s="22">
        <v>10615</v>
      </c>
    </row>
    <row r="166" spans="1:7">
      <c r="A166" s="23">
        <v>45824</v>
      </c>
      <c r="B166" s="22" t="s">
        <v>34</v>
      </c>
      <c r="C166" s="22">
        <v>1145</v>
      </c>
      <c r="D166" s="22">
        <v>151</v>
      </c>
      <c r="E166" s="22">
        <v>182759</v>
      </c>
      <c r="F166" s="22">
        <v>5.99</v>
      </c>
      <c r="G166" s="22">
        <v>20109</v>
      </c>
    </row>
    <row r="167" spans="1:7">
      <c r="A167" s="23">
        <v>45831</v>
      </c>
      <c r="B167" s="22" t="s">
        <v>15</v>
      </c>
      <c r="C167" s="22">
        <v>564</v>
      </c>
      <c r="D167" s="22">
        <v>244</v>
      </c>
      <c r="E167" s="22">
        <v>279405</v>
      </c>
      <c r="F167" s="22">
        <v>8.43</v>
      </c>
      <c r="G167" s="22">
        <v>26024</v>
      </c>
    </row>
    <row r="168" spans="1:7">
      <c r="A168" s="23">
        <v>45831</v>
      </c>
      <c r="B168" s="22" t="s">
        <v>27</v>
      </c>
      <c r="C168" s="22">
        <v>668</v>
      </c>
      <c r="D168" s="22">
        <v>124</v>
      </c>
      <c r="E168" s="22">
        <v>257485</v>
      </c>
      <c r="F168" s="22">
        <v>7.55</v>
      </c>
      <c r="G168" s="22">
        <v>26730</v>
      </c>
    </row>
    <row r="169" spans="1:7">
      <c r="A169" s="23">
        <v>45831</v>
      </c>
      <c r="B169" s="22" t="s">
        <v>34</v>
      </c>
      <c r="C169" s="22">
        <v>761</v>
      </c>
      <c r="D169" s="22">
        <v>241</v>
      </c>
      <c r="E169" s="22">
        <v>154977</v>
      </c>
      <c r="F169" s="22">
        <v>5.63</v>
      </c>
      <c r="G169" s="22">
        <v>10563</v>
      </c>
    </row>
    <row r="170" spans="1:7">
      <c r="A170" s="23">
        <v>45838</v>
      </c>
      <c r="B170" s="22" t="s">
        <v>15</v>
      </c>
      <c r="C170" s="22">
        <v>593</v>
      </c>
      <c r="D170" s="22">
        <v>108</v>
      </c>
      <c r="E170" s="22">
        <v>216500</v>
      </c>
      <c r="F170" s="22">
        <v>4.71</v>
      </c>
      <c r="G170" s="22">
        <v>27575</v>
      </c>
    </row>
    <row r="171" spans="1:7">
      <c r="A171" s="23">
        <v>45838</v>
      </c>
      <c r="B171" s="22" t="s">
        <v>27</v>
      </c>
      <c r="C171" s="22">
        <v>1349</v>
      </c>
      <c r="D171" s="22">
        <v>115</v>
      </c>
      <c r="E171" s="22">
        <v>102102</v>
      </c>
      <c r="F171" s="22">
        <v>5.28</v>
      </c>
      <c r="G171" s="22">
        <v>14479</v>
      </c>
    </row>
    <row r="172" spans="1:7">
      <c r="A172" s="23">
        <v>45838</v>
      </c>
      <c r="B172" s="22" t="s">
        <v>34</v>
      </c>
      <c r="C172" s="22">
        <v>693</v>
      </c>
      <c r="D172" s="22">
        <v>97</v>
      </c>
      <c r="E172" s="22">
        <v>92025</v>
      </c>
      <c r="F172" s="22">
        <v>5.95</v>
      </c>
      <c r="G172" s="22">
        <v>15915</v>
      </c>
    </row>
    <row r="173" spans="1:7">
      <c r="A173" s="23">
        <v>45845</v>
      </c>
      <c r="B173" s="22" t="s">
        <v>15</v>
      </c>
      <c r="C173" s="22">
        <v>974</v>
      </c>
      <c r="D173" s="22">
        <v>143</v>
      </c>
      <c r="E173" s="22">
        <v>247965</v>
      </c>
      <c r="F173" s="22">
        <v>9.98</v>
      </c>
      <c r="G173" s="22">
        <v>12767</v>
      </c>
    </row>
    <row r="174" spans="1:7">
      <c r="A174" s="23">
        <v>45845</v>
      </c>
      <c r="B174" s="22" t="s">
        <v>27</v>
      </c>
      <c r="C174" s="22">
        <v>1155</v>
      </c>
      <c r="D174" s="22">
        <v>122</v>
      </c>
      <c r="E174" s="22">
        <v>387352</v>
      </c>
      <c r="F174" s="22">
        <v>9.93</v>
      </c>
      <c r="G174" s="22">
        <v>12170</v>
      </c>
    </row>
    <row r="175" spans="1:7">
      <c r="A175" s="23">
        <v>45845</v>
      </c>
      <c r="B175" s="22" t="s">
        <v>34</v>
      </c>
      <c r="C175" s="22">
        <v>1051</v>
      </c>
      <c r="D175" s="22">
        <v>246</v>
      </c>
      <c r="E175" s="22">
        <v>253985</v>
      </c>
      <c r="F175" s="22">
        <v>9.08</v>
      </c>
      <c r="G175" s="22">
        <v>7245</v>
      </c>
    </row>
    <row r="176" spans="1:7">
      <c r="A176" s="23">
        <v>45852</v>
      </c>
      <c r="B176" s="22" t="s">
        <v>15</v>
      </c>
      <c r="C176" s="22">
        <v>1457</v>
      </c>
      <c r="D176" s="22">
        <v>183</v>
      </c>
      <c r="E176" s="22">
        <v>129640</v>
      </c>
      <c r="F176" s="22">
        <v>7.98</v>
      </c>
      <c r="G176" s="22">
        <v>12985</v>
      </c>
    </row>
    <row r="177" spans="1:7">
      <c r="A177" s="23">
        <v>45852</v>
      </c>
      <c r="B177" s="22" t="s">
        <v>27</v>
      </c>
      <c r="C177" s="22">
        <v>670</v>
      </c>
      <c r="D177" s="22">
        <v>242</v>
      </c>
      <c r="E177" s="22">
        <v>281913</v>
      </c>
      <c r="F177" s="22">
        <v>9.6199999999999992</v>
      </c>
      <c r="G177" s="22">
        <v>16377</v>
      </c>
    </row>
    <row r="178" spans="1:7">
      <c r="A178" s="23">
        <v>45852</v>
      </c>
      <c r="B178" s="22" t="s">
        <v>34</v>
      </c>
      <c r="C178" s="22">
        <v>1111</v>
      </c>
      <c r="D178" s="22">
        <v>159</v>
      </c>
      <c r="E178" s="22">
        <v>360770</v>
      </c>
      <c r="F178" s="22">
        <v>8.7100000000000009</v>
      </c>
      <c r="G178" s="22">
        <v>11453</v>
      </c>
    </row>
    <row r="179" spans="1:7">
      <c r="A179" s="23">
        <v>45859</v>
      </c>
      <c r="B179" s="22" t="s">
        <v>15</v>
      </c>
      <c r="C179" s="22">
        <v>1197</v>
      </c>
      <c r="D179" s="22">
        <v>246</v>
      </c>
      <c r="E179" s="22">
        <v>127273</v>
      </c>
      <c r="F179" s="22">
        <v>6.69</v>
      </c>
      <c r="G179" s="22">
        <v>12323</v>
      </c>
    </row>
    <row r="180" spans="1:7">
      <c r="A180" s="23">
        <v>45859</v>
      </c>
      <c r="B180" s="22" t="s">
        <v>27</v>
      </c>
      <c r="C180" s="22">
        <v>754</v>
      </c>
      <c r="D180" s="22">
        <v>150</v>
      </c>
      <c r="E180" s="22">
        <v>189622</v>
      </c>
      <c r="F180" s="22">
        <v>4.25</v>
      </c>
      <c r="G180" s="22">
        <v>11911</v>
      </c>
    </row>
    <row r="181" spans="1:7">
      <c r="A181" s="23">
        <v>45859</v>
      </c>
      <c r="B181" s="22" t="s">
        <v>34</v>
      </c>
      <c r="C181" s="22">
        <v>1246</v>
      </c>
      <c r="D181" s="22">
        <v>107</v>
      </c>
      <c r="E181" s="22">
        <v>350949</v>
      </c>
      <c r="F181" s="22">
        <v>4.9800000000000004</v>
      </c>
      <c r="G181" s="22">
        <v>27809</v>
      </c>
    </row>
    <row r="182" spans="1:7">
      <c r="A182" s="23">
        <v>45866</v>
      </c>
      <c r="B182" s="22" t="s">
        <v>15</v>
      </c>
      <c r="C182" s="22">
        <v>780</v>
      </c>
      <c r="D182" s="22">
        <v>213</v>
      </c>
      <c r="E182" s="22">
        <v>121431</v>
      </c>
      <c r="F182" s="22">
        <v>4.97</v>
      </c>
      <c r="G182" s="22">
        <v>21464</v>
      </c>
    </row>
    <row r="183" spans="1:7">
      <c r="A183" s="23">
        <v>45866</v>
      </c>
      <c r="B183" s="22" t="s">
        <v>27</v>
      </c>
      <c r="C183" s="22">
        <v>1425</v>
      </c>
      <c r="D183" s="22">
        <v>143</v>
      </c>
      <c r="E183" s="22">
        <v>116742</v>
      </c>
      <c r="F183" s="22">
        <v>3.71</v>
      </c>
      <c r="G183" s="22">
        <v>27126</v>
      </c>
    </row>
    <row r="184" spans="1:7">
      <c r="A184" s="23">
        <v>45866</v>
      </c>
      <c r="B184" s="22" t="s">
        <v>34</v>
      </c>
      <c r="C184" s="22">
        <v>1490</v>
      </c>
      <c r="D184" s="22">
        <v>103</v>
      </c>
      <c r="E184" s="22">
        <v>81184</v>
      </c>
      <c r="F184" s="22">
        <v>7.79</v>
      </c>
      <c r="G184" s="22">
        <v>10681</v>
      </c>
    </row>
    <row r="185" spans="1:7">
      <c r="A185" s="23">
        <v>45873</v>
      </c>
      <c r="B185" s="22" t="s">
        <v>15</v>
      </c>
      <c r="C185" s="22">
        <v>949</v>
      </c>
      <c r="D185" s="22">
        <v>282</v>
      </c>
      <c r="E185" s="22">
        <v>87126</v>
      </c>
      <c r="F185" s="22">
        <v>4.96</v>
      </c>
      <c r="G185" s="22">
        <v>5413</v>
      </c>
    </row>
    <row r="186" spans="1:7">
      <c r="A186" s="23">
        <v>45873</v>
      </c>
      <c r="B186" s="22" t="s">
        <v>27</v>
      </c>
      <c r="C186" s="22">
        <v>640</v>
      </c>
      <c r="D186" s="22">
        <v>141</v>
      </c>
      <c r="E186" s="22">
        <v>267546</v>
      </c>
      <c r="F186" s="22">
        <v>8.58</v>
      </c>
      <c r="G186" s="22">
        <v>25058</v>
      </c>
    </row>
    <row r="187" spans="1:7">
      <c r="A187" s="23">
        <v>45873</v>
      </c>
      <c r="B187" s="22" t="s">
        <v>34</v>
      </c>
      <c r="C187" s="22">
        <v>616</v>
      </c>
      <c r="D187" s="22">
        <v>93</v>
      </c>
      <c r="E187" s="22">
        <v>133082</v>
      </c>
      <c r="F187" s="22">
        <v>8.51</v>
      </c>
      <c r="G187" s="22">
        <v>18303</v>
      </c>
    </row>
    <row r="188" spans="1:7">
      <c r="A188" s="23">
        <v>45880</v>
      </c>
      <c r="B188" s="22" t="s">
        <v>15</v>
      </c>
      <c r="C188" s="22">
        <v>1080</v>
      </c>
      <c r="D188" s="22">
        <v>184</v>
      </c>
      <c r="E188" s="22">
        <v>340557</v>
      </c>
      <c r="F188" s="22">
        <v>5.41</v>
      </c>
      <c r="G188" s="22">
        <v>5526</v>
      </c>
    </row>
    <row r="189" spans="1:7">
      <c r="A189" s="23">
        <v>45880</v>
      </c>
      <c r="B189" s="22" t="s">
        <v>27</v>
      </c>
      <c r="C189" s="22">
        <v>938</v>
      </c>
      <c r="D189" s="22">
        <v>236</v>
      </c>
      <c r="E189" s="22">
        <v>116472</v>
      </c>
      <c r="F189" s="22">
        <v>8.7200000000000006</v>
      </c>
      <c r="G189" s="22">
        <v>17460</v>
      </c>
    </row>
    <row r="190" spans="1:7">
      <c r="A190" s="23">
        <v>45880</v>
      </c>
      <c r="B190" s="22" t="s">
        <v>34</v>
      </c>
      <c r="C190" s="22">
        <v>1007</v>
      </c>
      <c r="D190" s="22">
        <v>258</v>
      </c>
      <c r="E190" s="22">
        <v>113412</v>
      </c>
      <c r="F190" s="22">
        <v>7.71</v>
      </c>
      <c r="G190" s="22">
        <v>14475</v>
      </c>
    </row>
    <row r="191" spans="1:7">
      <c r="A191" s="23">
        <v>45887</v>
      </c>
      <c r="B191" s="22" t="s">
        <v>15</v>
      </c>
      <c r="C191" s="22">
        <v>541</v>
      </c>
      <c r="D191" s="22">
        <v>208</v>
      </c>
      <c r="E191" s="22">
        <v>157547</v>
      </c>
      <c r="F191" s="22">
        <v>8.35</v>
      </c>
      <c r="G191" s="22">
        <v>20162</v>
      </c>
    </row>
    <row r="192" spans="1:7">
      <c r="A192" s="23">
        <v>45887</v>
      </c>
      <c r="B192" s="22" t="s">
        <v>27</v>
      </c>
      <c r="C192" s="22">
        <v>745</v>
      </c>
      <c r="D192" s="22">
        <v>98</v>
      </c>
      <c r="E192" s="22">
        <v>354816</v>
      </c>
      <c r="F192" s="22">
        <v>4.03</v>
      </c>
      <c r="G192" s="22">
        <v>17103</v>
      </c>
    </row>
    <row r="193" spans="1:7">
      <c r="A193" s="23">
        <v>45887</v>
      </c>
      <c r="B193" s="22" t="s">
        <v>34</v>
      </c>
      <c r="C193" s="22">
        <v>936</v>
      </c>
      <c r="D193" s="22">
        <v>97</v>
      </c>
      <c r="E193" s="22">
        <v>151799</v>
      </c>
      <c r="F193" s="22">
        <v>9.3699999999999992</v>
      </c>
      <c r="G193" s="22">
        <v>15461</v>
      </c>
    </row>
    <row r="194" spans="1:7">
      <c r="A194" s="23">
        <v>45894</v>
      </c>
      <c r="B194" s="22" t="s">
        <v>15</v>
      </c>
      <c r="C194" s="22">
        <v>1183</v>
      </c>
      <c r="D194" s="22">
        <v>223</v>
      </c>
      <c r="E194" s="22">
        <v>143811</v>
      </c>
      <c r="F194" s="22">
        <v>6.07</v>
      </c>
      <c r="G194" s="22">
        <v>22103</v>
      </c>
    </row>
    <row r="195" spans="1:7">
      <c r="A195" s="23">
        <v>45894</v>
      </c>
      <c r="B195" s="22" t="s">
        <v>27</v>
      </c>
      <c r="C195" s="22">
        <v>1413</v>
      </c>
      <c r="D195" s="22">
        <v>245</v>
      </c>
      <c r="E195" s="22">
        <v>296450</v>
      </c>
      <c r="F195" s="22">
        <v>6.52</v>
      </c>
      <c r="G195" s="22">
        <v>11625</v>
      </c>
    </row>
    <row r="196" spans="1:7">
      <c r="A196" s="23">
        <v>45894</v>
      </c>
      <c r="B196" s="22" t="s">
        <v>34</v>
      </c>
      <c r="C196" s="22">
        <v>791</v>
      </c>
      <c r="D196" s="22">
        <v>273</v>
      </c>
      <c r="E196" s="22">
        <v>144049</v>
      </c>
      <c r="F196" s="22">
        <v>3.08</v>
      </c>
      <c r="G196" s="22">
        <v>5281</v>
      </c>
    </row>
    <row r="197" spans="1:7">
      <c r="A197" s="23">
        <v>45901</v>
      </c>
      <c r="B197" s="22" t="s">
        <v>15</v>
      </c>
      <c r="C197" s="22">
        <v>1052</v>
      </c>
      <c r="D197" s="22">
        <v>180</v>
      </c>
      <c r="E197" s="22">
        <v>272534</v>
      </c>
      <c r="F197" s="22">
        <v>5.34</v>
      </c>
      <c r="G197" s="22">
        <v>13424</v>
      </c>
    </row>
    <row r="198" spans="1:7">
      <c r="A198" s="23">
        <v>45901</v>
      </c>
      <c r="B198" s="22" t="s">
        <v>27</v>
      </c>
      <c r="C198" s="22">
        <v>572</v>
      </c>
      <c r="D198" s="22">
        <v>270</v>
      </c>
      <c r="E198" s="22">
        <v>82265</v>
      </c>
      <c r="F198" s="22">
        <v>3.65</v>
      </c>
      <c r="G198" s="22">
        <v>13140</v>
      </c>
    </row>
    <row r="199" spans="1:7">
      <c r="A199" s="23">
        <v>45901</v>
      </c>
      <c r="B199" s="22" t="s">
        <v>34</v>
      </c>
      <c r="C199" s="22">
        <v>503</v>
      </c>
      <c r="D199" s="22">
        <v>253</v>
      </c>
      <c r="E199" s="22">
        <v>313562</v>
      </c>
      <c r="F199" s="22">
        <v>4.18</v>
      </c>
      <c r="G199" s="22">
        <v>19538</v>
      </c>
    </row>
    <row r="200" spans="1:7">
      <c r="A200" s="23">
        <v>45908</v>
      </c>
      <c r="B200" s="22" t="s">
        <v>15</v>
      </c>
      <c r="C200" s="22">
        <v>1017</v>
      </c>
      <c r="D200" s="22">
        <v>197</v>
      </c>
      <c r="E200" s="22">
        <v>89918</v>
      </c>
      <c r="F200" s="22">
        <v>3.91</v>
      </c>
      <c r="G200" s="22">
        <v>7881</v>
      </c>
    </row>
    <row r="201" spans="1:7">
      <c r="A201" s="23">
        <v>45908</v>
      </c>
      <c r="B201" s="22" t="s">
        <v>27</v>
      </c>
      <c r="C201" s="22">
        <v>860</v>
      </c>
      <c r="D201" s="22">
        <v>244</v>
      </c>
      <c r="E201" s="22">
        <v>348686</v>
      </c>
      <c r="F201" s="22">
        <v>5.12</v>
      </c>
      <c r="G201" s="22">
        <v>11418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4AB4-A03C-41F7-BDD8-E2E28812CD9A}">
  <dimension ref="A1:G5"/>
  <sheetViews>
    <sheetView workbookViewId="0">
      <selection activeCell="A2" sqref="A2"/>
    </sheetView>
  </sheetViews>
  <sheetFormatPr defaultRowHeight="14.4"/>
  <cols>
    <col min="1" max="1" width="15.5546875" bestFit="1" customWidth="1"/>
    <col min="2" max="3" width="10.33203125" bestFit="1" customWidth="1"/>
    <col min="4" max="4" width="15.109375" bestFit="1" customWidth="1"/>
    <col min="5" max="5" width="12.21875" bestFit="1" customWidth="1"/>
    <col min="6" max="6" width="17.6640625" bestFit="1" customWidth="1"/>
    <col min="7" max="7" width="32.109375" bestFit="1" customWidth="1"/>
  </cols>
  <sheetData>
    <row r="1" spans="1:7">
      <c r="A1" s="24" t="s">
        <v>13</v>
      </c>
      <c r="B1" s="24" t="s">
        <v>339</v>
      </c>
      <c r="C1" s="24" t="s">
        <v>340</v>
      </c>
      <c r="D1" s="24" t="s">
        <v>341</v>
      </c>
      <c r="E1" s="24" t="s">
        <v>342</v>
      </c>
      <c r="F1" s="24" t="s">
        <v>343</v>
      </c>
      <c r="G1" s="24" t="s">
        <v>385</v>
      </c>
    </row>
    <row r="2" spans="1:7">
      <c r="A2" s="25" t="s">
        <v>58</v>
      </c>
      <c r="B2" s="25" t="s">
        <v>386</v>
      </c>
      <c r="C2" s="25" t="s">
        <v>387</v>
      </c>
      <c r="D2" s="25" t="s">
        <v>346</v>
      </c>
      <c r="E2" s="25">
        <v>175000</v>
      </c>
      <c r="F2" s="25" t="s">
        <v>347</v>
      </c>
      <c r="G2" s="25" t="s">
        <v>388</v>
      </c>
    </row>
    <row r="3" spans="1:7">
      <c r="A3" s="25" t="s">
        <v>55</v>
      </c>
      <c r="B3" s="25" t="s">
        <v>389</v>
      </c>
      <c r="C3" s="25" t="s">
        <v>390</v>
      </c>
      <c r="D3" s="25" t="s">
        <v>348</v>
      </c>
      <c r="E3" s="25">
        <v>225000</v>
      </c>
      <c r="F3" s="25" t="s">
        <v>349</v>
      </c>
      <c r="G3" s="25" t="s">
        <v>391</v>
      </c>
    </row>
    <row r="4" spans="1:7">
      <c r="A4" s="25" t="s">
        <v>20</v>
      </c>
      <c r="B4" s="25" t="s">
        <v>392</v>
      </c>
      <c r="C4" s="25" t="s">
        <v>393</v>
      </c>
      <c r="D4" s="25" t="s">
        <v>350</v>
      </c>
      <c r="E4" s="25">
        <v>200000</v>
      </c>
      <c r="F4" s="25" t="s">
        <v>351</v>
      </c>
      <c r="G4" s="25" t="s">
        <v>394</v>
      </c>
    </row>
    <row r="5" spans="1:7">
      <c r="A5" s="25" t="s">
        <v>25</v>
      </c>
      <c r="B5" s="25" t="s">
        <v>395</v>
      </c>
      <c r="C5" s="25" t="s">
        <v>396</v>
      </c>
      <c r="D5" s="25" t="s">
        <v>353</v>
      </c>
      <c r="E5" s="25">
        <v>160000</v>
      </c>
      <c r="F5" s="25" t="s">
        <v>354</v>
      </c>
      <c r="G5" s="25" t="s">
        <v>397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3276-627C-4F50-85EF-C6340B381009}">
  <dimension ref="A1:S300"/>
  <sheetViews>
    <sheetView topLeftCell="D1" workbookViewId="0">
      <selection activeCell="I6" sqref="I6"/>
    </sheetView>
  </sheetViews>
  <sheetFormatPr defaultRowHeight="14.4"/>
  <cols>
    <col min="1" max="1" width="6.88671875" bestFit="1" customWidth="1"/>
    <col min="2" max="2" width="9.109375" bestFit="1" customWidth="1"/>
    <col min="3" max="3" width="10.33203125" bestFit="1" customWidth="1"/>
    <col min="4" max="4" width="12.33203125" bestFit="1" customWidth="1"/>
    <col min="5" max="5" width="38"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3" width="17.21875" bestFit="1" customWidth="1"/>
    <col min="14" max="14" width="15.5546875" bestFit="1" customWidth="1"/>
    <col min="15" max="15" width="6.5546875" bestFit="1" customWidth="1"/>
    <col min="16" max="17" width="10.77734375" bestFit="1" customWidth="1"/>
    <col min="18" max="18" width="15.33203125" bestFit="1" customWidth="1"/>
    <col min="19" max="19" width="15.44140625" bestFit="1" customWidth="1"/>
  </cols>
  <sheetData>
    <row r="1" spans="1:19">
      <c r="A1" s="3" t="s">
        <v>0</v>
      </c>
      <c r="B1" s="3" t="s">
        <v>1</v>
      </c>
      <c r="C1" s="3" t="s">
        <v>2</v>
      </c>
      <c r="D1" s="3" t="s">
        <v>3</v>
      </c>
      <c r="E1" s="3" t="s">
        <v>4</v>
      </c>
      <c r="F1" s="3" t="s">
        <v>5</v>
      </c>
      <c r="G1" s="3" t="s">
        <v>6</v>
      </c>
      <c r="H1" s="3" t="s">
        <v>7</v>
      </c>
      <c r="I1" s="3" t="s">
        <v>8</v>
      </c>
      <c r="J1" s="3" t="s">
        <v>9</v>
      </c>
      <c r="K1" s="3" t="s">
        <v>10</v>
      </c>
      <c r="L1" s="3" t="s">
        <v>11</v>
      </c>
      <c r="M1" s="3" t="s">
        <v>12</v>
      </c>
      <c r="N1" s="3" t="s">
        <v>13</v>
      </c>
      <c r="O1" s="3" t="s">
        <v>409</v>
      </c>
      <c r="P1" s="3" t="s">
        <v>410</v>
      </c>
      <c r="Q1" s="3" t="s">
        <v>412</v>
      </c>
      <c r="R1" s="3" t="s">
        <v>411</v>
      </c>
      <c r="S1" s="3" t="s">
        <v>413</v>
      </c>
    </row>
    <row r="2" spans="1:19">
      <c r="A2" s="29" t="s">
        <v>14</v>
      </c>
      <c r="B2" s="29" t="s">
        <v>15</v>
      </c>
      <c r="C2" s="38">
        <v>45781</v>
      </c>
      <c r="D2" s="29" t="s">
        <v>16</v>
      </c>
      <c r="E2" s="29" t="s">
        <v>17</v>
      </c>
      <c r="F2" s="14">
        <v>2414</v>
      </c>
      <c r="G2" s="14">
        <v>245</v>
      </c>
      <c r="H2" s="14">
        <v>137</v>
      </c>
      <c r="I2" s="14">
        <v>21181</v>
      </c>
      <c r="J2" s="14">
        <v>45292</v>
      </c>
      <c r="K2" s="14">
        <v>133</v>
      </c>
      <c r="L2" s="29" t="s">
        <v>18</v>
      </c>
      <c r="M2" s="29" t="s">
        <v>19</v>
      </c>
      <c r="N2" s="29" t="s">
        <v>20</v>
      </c>
      <c r="O2" s="29" t="str">
        <f>IF(AND(C2&gt;='Task 1.2'!$B$2,C2&lt;='Task 1.2'!$C$2),"During","Before")</f>
        <v>Before</v>
      </c>
      <c r="P2" s="26">
        <f ca="1">AVERAGEIF(O2:O300,"Before",Posts[[#This Row],[engagement rate]])</f>
        <v>9.7610068917312969</v>
      </c>
      <c r="Q2" s="26">
        <f t="shared" ref="Q2" si="0">AVERAGEIF($O$2:$O$300, "During",S2:S300)</f>
        <v>10.163581484835261</v>
      </c>
      <c r="R2" s="26">
        <f ca="1">Posts[[#This Row],[Avg. During]]-Posts[[#This Row],[Avg. Before]]/Posts[[#This Row],[Avg. Before]]</f>
        <v>9.1635814848352606</v>
      </c>
      <c r="S2" s="26">
        <v>13.82843114111704</v>
      </c>
    </row>
    <row r="3" spans="1:19">
      <c r="A3" s="29" t="s">
        <v>21</v>
      </c>
      <c r="B3" s="29" t="s">
        <v>15</v>
      </c>
      <c r="C3" s="38">
        <v>45689</v>
      </c>
      <c r="D3" s="29" t="s">
        <v>16</v>
      </c>
      <c r="E3" s="29" t="s">
        <v>22</v>
      </c>
      <c r="F3" s="14">
        <v>1934</v>
      </c>
      <c r="G3" s="14">
        <v>210</v>
      </c>
      <c r="H3" s="14">
        <v>393</v>
      </c>
      <c r="I3" s="14">
        <v>29129</v>
      </c>
      <c r="J3" s="14">
        <v>73287</v>
      </c>
      <c r="K3" s="14">
        <v>273</v>
      </c>
      <c r="L3" s="29" t="s">
        <v>23</v>
      </c>
      <c r="M3" s="29" t="s">
        <v>24</v>
      </c>
      <c r="N3" s="29" t="s">
        <v>25</v>
      </c>
      <c r="O3" s="29" t="str">
        <f>IF(AND(C3&gt;='Task 1.2'!$B$2,C3&lt;='Task 1.2'!$C$2),"During","Before")</f>
        <v>Before</v>
      </c>
      <c r="P3" s="26">
        <f ca="1">AVERAGEIF(O3:O301,"Before",Posts[[#This Row],[engagement rate]])</f>
        <v>9.7464803765549188</v>
      </c>
      <c r="Q3" s="26">
        <f t="shared" ref="Q3:Q66" si="1">AVERAGEIF($O$2:$O$300, "During",S3:S301)</f>
        <v>10.605536770317146</v>
      </c>
      <c r="R3" s="26">
        <f ca="1">Posts[[#This Row],[Avg. During]]-Posts[[#This Row],[Avg. Before]]/Posts[[#This Row],[Avg. Before]]</f>
        <v>9.6055367703171459</v>
      </c>
      <c r="S3" s="26">
        <v>9.6467437948436263</v>
      </c>
    </row>
    <row r="4" spans="1:19">
      <c r="A4" s="29" t="s">
        <v>26</v>
      </c>
      <c r="B4" s="29" t="s">
        <v>27</v>
      </c>
      <c r="C4" s="38">
        <v>45629</v>
      </c>
      <c r="D4" s="29" t="s">
        <v>28</v>
      </c>
      <c r="E4" s="29" t="s">
        <v>29</v>
      </c>
      <c r="F4" s="14">
        <v>3092</v>
      </c>
      <c r="G4" s="14">
        <v>177</v>
      </c>
      <c r="H4" s="14">
        <v>81</v>
      </c>
      <c r="I4" s="14">
        <v>47533</v>
      </c>
      <c r="J4" s="14">
        <v>29220</v>
      </c>
      <c r="K4" s="14">
        <v>121</v>
      </c>
      <c r="L4" s="29" t="s">
        <v>30</v>
      </c>
      <c r="M4" s="29" t="s">
        <v>19</v>
      </c>
      <c r="N4" s="29" t="s">
        <v>20</v>
      </c>
      <c r="O4" s="29" t="str">
        <f>IF(AND(C4&gt;='Task 1.2'!$B$2,C4&lt;='Task 1.2'!$C$2),"During","Before")</f>
        <v>Before</v>
      </c>
      <c r="P4" s="26">
        <f ca="1">AVERAGEIF(O4:O302,"Before",Posts[[#This Row],[engagement rate]])</f>
        <v>9.7468378553424149</v>
      </c>
      <c r="Q4" s="26">
        <f t="shared" si="1"/>
        <v>10.282142177085355</v>
      </c>
      <c r="R4" s="26">
        <f ca="1">Posts[[#This Row],[Avg. During]]-Posts[[#This Row],[Avg. Before]]/Posts[[#This Row],[Avg. Before]]</f>
        <v>9.2821421770853547</v>
      </c>
      <c r="S4" s="26">
        <v>7.3022952475122542</v>
      </c>
    </row>
    <row r="5" spans="1:19">
      <c r="A5" s="29" t="s">
        <v>31</v>
      </c>
      <c r="B5" s="29" t="s">
        <v>15</v>
      </c>
      <c r="C5" s="38">
        <v>45629</v>
      </c>
      <c r="D5" s="29" t="s">
        <v>16</v>
      </c>
      <c r="E5" s="29" t="s">
        <v>32</v>
      </c>
      <c r="F5" s="14">
        <v>3173</v>
      </c>
      <c r="G5" s="14">
        <v>229</v>
      </c>
      <c r="H5" s="14">
        <v>197</v>
      </c>
      <c r="I5" s="14">
        <v>29604</v>
      </c>
      <c r="J5" s="14">
        <v>21809</v>
      </c>
      <c r="K5" s="14">
        <v>272</v>
      </c>
      <c r="L5" s="29" t="s">
        <v>18</v>
      </c>
      <c r="M5" s="29" t="s">
        <v>19</v>
      </c>
      <c r="N5" s="29" t="s">
        <v>20</v>
      </c>
      <c r="O5" s="29" t="str">
        <f>IF(AND(C5&gt;='Task 1.2'!$B$2,C5&lt;='Task 1.2'!$C$2),"During","Before")</f>
        <v>Before</v>
      </c>
      <c r="P5" s="26">
        <f ca="1">AVERAGEIF(O5:O303,"Before",Posts[[#This Row],[engagement rate]])</f>
        <v>9.7556311740756172</v>
      </c>
      <c r="Q5" s="26">
        <f t="shared" si="1"/>
        <v>10.91311941519192</v>
      </c>
      <c r="R5" s="26">
        <f ca="1">Posts[[#This Row],[Avg. During]]-Posts[[#This Row],[Avg. Before]]/Posts[[#This Row],[Avg. Before]]</f>
        <v>9.91311941519192</v>
      </c>
      <c r="S5" s="26">
        <v>13.075935684366977</v>
      </c>
    </row>
    <row r="6" spans="1:19">
      <c r="A6" s="29" t="s">
        <v>33</v>
      </c>
      <c r="B6" s="29" t="s">
        <v>34</v>
      </c>
      <c r="C6" s="38">
        <v>45388</v>
      </c>
      <c r="D6" s="29" t="s">
        <v>16</v>
      </c>
      <c r="E6" s="29" t="s">
        <v>35</v>
      </c>
      <c r="F6" s="14">
        <v>2748</v>
      </c>
      <c r="G6" s="14">
        <v>145</v>
      </c>
      <c r="H6" s="14">
        <v>315</v>
      </c>
      <c r="I6" s="14">
        <v>24401</v>
      </c>
      <c r="J6" s="14">
        <v>61182</v>
      </c>
      <c r="K6" s="14">
        <v>200</v>
      </c>
      <c r="L6" s="29" t="s">
        <v>23</v>
      </c>
      <c r="M6" s="29" t="s">
        <v>36</v>
      </c>
      <c r="N6" s="29" t="s">
        <v>25</v>
      </c>
      <c r="O6" s="29" t="str">
        <f>IF(AND(C6&gt;='Task 1.2'!$B$2,C6&lt;='Task 1.2'!$C$2),"During","Before")</f>
        <v>Before</v>
      </c>
      <c r="P6" s="26">
        <f ca="1">AVERAGEIF(O6:O304,"Before",Posts[[#This Row],[engagement rate]])</f>
        <v>9.743644515193699</v>
      </c>
      <c r="Q6" s="26">
        <f t="shared" si="1"/>
        <v>9.9255447620357415</v>
      </c>
      <c r="R6" s="26">
        <f ca="1">Posts[[#This Row],[Avg. During]]-Posts[[#This Row],[Avg. Before]]/Posts[[#This Row],[Avg. Before]]</f>
        <v>8.9255447620357415</v>
      </c>
      <c r="S6" s="26">
        <v>13.966640711446251</v>
      </c>
    </row>
    <row r="7" spans="1:19">
      <c r="A7" s="29" t="s">
        <v>37</v>
      </c>
      <c r="B7" s="29" t="s">
        <v>34</v>
      </c>
      <c r="C7" s="38">
        <v>45456</v>
      </c>
      <c r="D7" s="29" t="s">
        <v>16</v>
      </c>
      <c r="E7" s="29" t="s">
        <v>38</v>
      </c>
      <c r="F7" s="14">
        <v>3882</v>
      </c>
      <c r="G7" s="14">
        <v>239</v>
      </c>
      <c r="H7" s="14">
        <v>275</v>
      </c>
      <c r="I7" s="14">
        <v>58748</v>
      </c>
      <c r="J7" s="14">
        <v>44646</v>
      </c>
      <c r="K7" s="14">
        <v>149</v>
      </c>
      <c r="L7" s="29" t="s">
        <v>23</v>
      </c>
      <c r="M7" s="29" t="s">
        <v>36</v>
      </c>
      <c r="N7" s="29" t="s">
        <v>25</v>
      </c>
      <c r="O7" s="29" t="str">
        <f>IF(AND(C7&gt;='Task 1.2'!$B$2,C7&lt;='Task 1.2'!$C$2),"During","Before")</f>
        <v>Before</v>
      </c>
      <c r="P7" s="26">
        <f ca="1">AVERAGEIF(O7:O305,"Before",Posts[[#This Row],[engagement rate]])</f>
        <v>9.7283438043377117</v>
      </c>
      <c r="Q7" s="26">
        <f t="shared" si="1"/>
        <v>10.019713332075415</v>
      </c>
      <c r="R7" s="26">
        <f ca="1">Posts[[#This Row],[Avg. During]]-Posts[[#This Row],[Avg. Before]]/Posts[[#This Row],[Avg. Before]]</f>
        <v>9.0197133320754155</v>
      </c>
      <c r="S7" s="26">
        <v>7.7364335807176419</v>
      </c>
    </row>
    <row r="8" spans="1:19">
      <c r="A8" s="29" t="s">
        <v>39</v>
      </c>
      <c r="B8" s="29" t="s">
        <v>27</v>
      </c>
      <c r="C8" s="38">
        <v>45645</v>
      </c>
      <c r="D8" s="29" t="s">
        <v>28</v>
      </c>
      <c r="E8" s="29" t="s">
        <v>40</v>
      </c>
      <c r="F8" s="14">
        <v>4674</v>
      </c>
      <c r="G8" s="14">
        <v>409</v>
      </c>
      <c r="H8" s="14">
        <v>327</v>
      </c>
      <c r="I8" s="14">
        <v>20756</v>
      </c>
      <c r="J8" s="14">
        <v>63599</v>
      </c>
      <c r="K8" s="14">
        <v>212</v>
      </c>
      <c r="L8" s="29" t="s">
        <v>18</v>
      </c>
      <c r="M8" s="29" t="s">
        <v>19</v>
      </c>
      <c r="N8" s="29" t="s">
        <v>20</v>
      </c>
      <c r="O8" s="29" t="str">
        <f>IF(AND(C8&gt;='Task 1.2'!$B$2,C8&lt;='Task 1.2'!$C$2),"During","Before")</f>
        <v>Before</v>
      </c>
      <c r="P8" s="26">
        <f ca="1">AVERAGEIF(O8:O306,"Before",Posts[[#This Row],[engagement rate]])</f>
        <v>9.7355871142417865</v>
      </c>
      <c r="Q8" s="26">
        <f t="shared" si="1"/>
        <v>8.269089524525949</v>
      </c>
      <c r="R8" s="26">
        <f ca="1">Posts[[#This Row],[Avg. During]]-Posts[[#This Row],[Avg. Before]]/Posts[[#This Row],[Avg. Before]]</f>
        <v>7.269089524525949</v>
      </c>
      <c r="S8" s="26">
        <v>27.086143765658122</v>
      </c>
    </row>
    <row r="9" spans="1:19">
      <c r="A9" s="29" t="s">
        <v>41</v>
      </c>
      <c r="B9" s="29" t="s">
        <v>27</v>
      </c>
      <c r="C9" s="38">
        <v>45421</v>
      </c>
      <c r="D9" s="29" t="s">
        <v>28</v>
      </c>
      <c r="E9" s="29" t="s">
        <v>32</v>
      </c>
      <c r="F9" s="14">
        <v>1428</v>
      </c>
      <c r="G9" s="14">
        <v>347</v>
      </c>
      <c r="H9" s="14">
        <v>67</v>
      </c>
      <c r="I9" s="14">
        <v>21148</v>
      </c>
      <c r="J9" s="14">
        <v>19712</v>
      </c>
      <c r="K9" s="14">
        <v>120</v>
      </c>
      <c r="L9" s="29" t="s">
        <v>23</v>
      </c>
      <c r="M9" s="29" t="s">
        <v>30</v>
      </c>
      <c r="N9" s="29" t="s">
        <v>20</v>
      </c>
      <c r="O9" s="29" t="str">
        <f>IF(AND(C9&gt;='Task 1.2'!$B$2,C9&lt;='Task 1.2'!$C$2),"During","Before")</f>
        <v>Before</v>
      </c>
      <c r="P9" s="26">
        <f ca="1">AVERAGEIF(O9:O307,"Before",Posts[[#This Row],[engagement rate]])</f>
        <v>9.672263914784061</v>
      </c>
      <c r="Q9" s="26">
        <f t="shared" si="1"/>
        <v>8.5929798885975135</v>
      </c>
      <c r="R9" s="26">
        <f ca="1">Posts[[#This Row],[Avg. During]]-Posts[[#This Row],[Avg. Before]]/Posts[[#This Row],[Avg. Before]]</f>
        <v>7.5929798885975135</v>
      </c>
      <c r="S9" s="26">
        <v>9.2774730470966524</v>
      </c>
    </row>
    <row r="10" spans="1:19">
      <c r="A10" s="29" t="s">
        <v>42</v>
      </c>
      <c r="B10" s="29" t="s">
        <v>27</v>
      </c>
      <c r="C10" s="38">
        <v>45823</v>
      </c>
      <c r="D10" s="29" t="s">
        <v>16</v>
      </c>
      <c r="E10" s="29" t="s">
        <v>43</v>
      </c>
      <c r="F10" s="14">
        <v>4432</v>
      </c>
      <c r="G10" s="14">
        <v>223</v>
      </c>
      <c r="H10" s="14">
        <v>299</v>
      </c>
      <c r="I10" s="14">
        <v>59016</v>
      </c>
      <c r="J10" s="14">
        <v>21742</v>
      </c>
      <c r="K10" s="14">
        <v>171</v>
      </c>
      <c r="L10" s="29" t="s">
        <v>19</v>
      </c>
      <c r="M10" s="29" t="s">
        <v>24</v>
      </c>
      <c r="N10" s="29" t="s">
        <v>20</v>
      </c>
      <c r="O10" s="29" t="str">
        <f>IF(AND(C10&gt;='Task 1.2'!$B$2,C10&lt;='Task 1.2'!$C$2),"During","Before")</f>
        <v>Before</v>
      </c>
      <c r="P10" s="26">
        <f ca="1">AVERAGEIF(O10:O308,"Before",Posts[[#This Row],[engagement rate]])</f>
        <v>9.6737100351785195</v>
      </c>
      <c r="Q10" s="26">
        <f t="shared" si="1"/>
        <v>9.2235106839108738</v>
      </c>
      <c r="R10" s="26">
        <f ca="1">Posts[[#This Row],[Avg. During]]-Posts[[#This Row],[Avg. Before]]/Posts[[#This Row],[Avg. Before]]</f>
        <v>8.2235106839108738</v>
      </c>
      <c r="S10" s="26">
        <v>8.6840856716822561</v>
      </c>
    </row>
    <row r="11" spans="1:19">
      <c r="A11" s="29" t="s">
        <v>44</v>
      </c>
      <c r="B11" s="29" t="s">
        <v>27</v>
      </c>
      <c r="C11" s="38">
        <v>45630</v>
      </c>
      <c r="D11" s="29" t="s">
        <v>16</v>
      </c>
      <c r="E11" s="29" t="s">
        <v>32</v>
      </c>
      <c r="F11" s="14">
        <v>2357</v>
      </c>
      <c r="G11" s="14">
        <v>274</v>
      </c>
      <c r="H11" s="14">
        <v>172</v>
      </c>
      <c r="I11" s="14">
        <v>21566</v>
      </c>
      <c r="J11" s="14">
        <v>66829</v>
      </c>
      <c r="K11" s="14">
        <v>284</v>
      </c>
      <c r="L11" s="29" t="s">
        <v>19</v>
      </c>
      <c r="M11" s="29" t="s">
        <v>24</v>
      </c>
      <c r="N11" s="29" t="s">
        <v>20</v>
      </c>
      <c r="O11" s="29" t="str">
        <f>IF(AND(C11&gt;='Task 1.2'!$B$2,C11&lt;='Task 1.2'!$C$2),"During","Before")</f>
        <v>Before</v>
      </c>
      <c r="P11" s="26">
        <f ca="1">AVERAGEIF(O11:O309,"Before",Posts[[#This Row],[engagement rate]])</f>
        <v>9.6773483600443164</v>
      </c>
      <c r="Q11" s="26">
        <f t="shared" si="1"/>
        <v>8.5197495144691668</v>
      </c>
      <c r="R11" s="26">
        <f ca="1">Posts[[#This Row],[Avg. During]]-Posts[[#This Row],[Avg. Before]]/Posts[[#This Row],[Avg. Before]]</f>
        <v>7.5197495144691668</v>
      </c>
      <c r="S11" s="26">
        <v>14.314198275062598</v>
      </c>
    </row>
    <row r="12" spans="1:19">
      <c r="A12" s="29" t="s">
        <v>45</v>
      </c>
      <c r="B12" s="29" t="s">
        <v>27</v>
      </c>
      <c r="C12" s="38">
        <v>45357</v>
      </c>
      <c r="D12" s="29" t="s">
        <v>16</v>
      </c>
      <c r="E12" s="29" t="s">
        <v>17</v>
      </c>
      <c r="F12" s="14">
        <v>1971</v>
      </c>
      <c r="G12" s="14">
        <v>370</v>
      </c>
      <c r="H12" s="14">
        <v>306</v>
      </c>
      <c r="I12" s="14">
        <v>31316</v>
      </c>
      <c r="J12" s="14">
        <v>27897</v>
      </c>
      <c r="K12" s="14">
        <v>88</v>
      </c>
      <c r="L12" s="29" t="s">
        <v>18</v>
      </c>
      <c r="M12" s="29" t="s">
        <v>24</v>
      </c>
      <c r="N12" s="29" t="s">
        <v>25</v>
      </c>
      <c r="O12" s="29" t="str">
        <f>IF(AND(C12&gt;='Task 1.2'!$B$2,C12&lt;='Task 1.2'!$C$2),"During","Before")</f>
        <v>Before</v>
      </c>
      <c r="P12" s="26">
        <f ca="1">AVERAGEIF(O12:O310,"Before",Posts[[#This Row],[engagement rate]])</f>
        <v>9.6602382127564255</v>
      </c>
      <c r="Q12" s="26">
        <f t="shared" si="1"/>
        <v>9.0401893648498053</v>
      </c>
      <c r="R12" s="26">
        <f ca="1">Posts[[#This Row],[Avg. During]]-Posts[[#This Row],[Avg. Before]]/Posts[[#This Row],[Avg. Before]]</f>
        <v>8.0401893648498053</v>
      </c>
      <c r="S12" s="26">
        <v>8.7335547324051603</v>
      </c>
    </row>
    <row r="13" spans="1:19">
      <c r="A13" s="29" t="s">
        <v>46</v>
      </c>
      <c r="B13" s="29" t="s">
        <v>15</v>
      </c>
      <c r="C13" s="38">
        <v>45426</v>
      </c>
      <c r="D13" s="29" t="s">
        <v>16</v>
      </c>
      <c r="E13" s="29" t="s">
        <v>17</v>
      </c>
      <c r="F13" s="14">
        <v>1485</v>
      </c>
      <c r="G13" s="14">
        <v>353</v>
      </c>
      <c r="H13" s="14">
        <v>244</v>
      </c>
      <c r="I13" s="14">
        <v>38419</v>
      </c>
      <c r="J13" s="14">
        <v>38556</v>
      </c>
      <c r="K13" s="14">
        <v>86</v>
      </c>
      <c r="L13" s="29" t="s">
        <v>18</v>
      </c>
      <c r="M13" s="29" t="s">
        <v>19</v>
      </c>
      <c r="N13" s="29" t="s">
        <v>20</v>
      </c>
      <c r="O13" s="29" t="str">
        <f>IF(AND(C13&gt;='Task 1.2'!$B$2,C13&lt;='Task 1.2'!$C$2),"During","Before")</f>
        <v>Before</v>
      </c>
      <c r="P13" s="26">
        <f ca="1">AVERAGEIF(O13:O311,"Before",Posts[[#This Row],[engagement rate]])</f>
        <v>9.6636703737947638</v>
      </c>
      <c r="Q13" s="26">
        <f t="shared" si="1"/>
        <v>9.2822898960370974</v>
      </c>
      <c r="R13" s="26">
        <f ca="1">Posts[[#This Row],[Avg. During]]-Posts[[#This Row],[Avg. Before]]/Posts[[#This Row],[Avg. Before]]</f>
        <v>8.2822898960370974</v>
      </c>
      <c r="S13" s="26">
        <v>5.6430412035711495</v>
      </c>
    </row>
    <row r="14" spans="1:19">
      <c r="A14" s="29" t="s">
        <v>47</v>
      </c>
      <c r="B14" s="29" t="s">
        <v>27</v>
      </c>
      <c r="C14" s="38">
        <v>45826</v>
      </c>
      <c r="D14" s="29" t="s">
        <v>28</v>
      </c>
      <c r="E14" s="29" t="s">
        <v>17</v>
      </c>
      <c r="F14" s="14">
        <v>3956</v>
      </c>
      <c r="G14" s="14">
        <v>319</v>
      </c>
      <c r="H14" s="14">
        <v>61</v>
      </c>
      <c r="I14" s="14">
        <v>58162</v>
      </c>
      <c r="J14" s="14">
        <v>28720</v>
      </c>
      <c r="K14" s="14">
        <v>213</v>
      </c>
      <c r="L14" s="29" t="s">
        <v>30</v>
      </c>
      <c r="M14" s="29" t="s">
        <v>19</v>
      </c>
      <c r="N14" s="29" t="s">
        <v>20</v>
      </c>
      <c r="O14" s="29" t="str">
        <f>IF(AND(C14&gt;='Task 1.2'!$B$2,C14&lt;='Task 1.2'!$C$2),"During","Before")</f>
        <v>Before</v>
      </c>
      <c r="P14" s="26">
        <f ca="1">AVERAGEIF(O14:O312,"Before",Posts[[#This Row],[engagement rate]])</f>
        <v>9.6786169506357442</v>
      </c>
      <c r="Q14" s="26">
        <f t="shared" si="1"/>
        <v>7.7336256836387669</v>
      </c>
      <c r="R14" s="26">
        <f ca="1">Posts[[#This Row],[Avg. During]]-Posts[[#This Row],[Avg. Before]]/Posts[[#This Row],[Avg. Before]]</f>
        <v>6.7336256836387669</v>
      </c>
      <c r="S14" s="26">
        <v>7.8212578659605931</v>
      </c>
    </row>
    <row r="15" spans="1:19">
      <c r="A15" s="29" t="s">
        <v>48</v>
      </c>
      <c r="B15" s="29" t="s">
        <v>27</v>
      </c>
      <c r="C15" s="38">
        <v>45573</v>
      </c>
      <c r="D15" s="29" t="s">
        <v>16</v>
      </c>
      <c r="E15" s="29" t="s">
        <v>49</v>
      </c>
      <c r="F15" s="14">
        <v>2460</v>
      </c>
      <c r="G15" s="14">
        <v>409</v>
      </c>
      <c r="H15" s="14">
        <v>253</v>
      </c>
      <c r="I15" s="14">
        <v>36702</v>
      </c>
      <c r="J15" s="14">
        <v>46122</v>
      </c>
      <c r="K15" s="14">
        <v>264</v>
      </c>
      <c r="L15" s="29" t="s">
        <v>19</v>
      </c>
      <c r="M15" s="29" t="s">
        <v>24</v>
      </c>
      <c r="N15" s="29" t="s">
        <v>20</v>
      </c>
      <c r="O15" s="29" t="str">
        <f>IF(AND(C15&gt;='Task 1.2'!$B$2,C15&lt;='Task 1.2'!$C$2),"During","Before")</f>
        <v>Before</v>
      </c>
      <c r="P15" s="26">
        <f ca="1">AVERAGEIF(O15:O313,"Before",Posts[[#This Row],[engagement rate]])</f>
        <v>9.6855473949815458</v>
      </c>
      <c r="Q15" s="26">
        <f t="shared" si="1"/>
        <v>8.5041076714725019</v>
      </c>
      <c r="R15" s="26">
        <f ca="1">Posts[[#This Row],[Avg. During]]-Posts[[#This Row],[Avg. Before]]/Posts[[#This Row],[Avg. Before]]</f>
        <v>7.5041076714725019</v>
      </c>
      <c r="S15" s="26">
        <v>9.225655277641545</v>
      </c>
    </row>
    <row r="16" spans="1:19">
      <c r="A16" s="29" t="s">
        <v>50</v>
      </c>
      <c r="B16" s="29" t="s">
        <v>27</v>
      </c>
      <c r="C16" s="38">
        <v>45418</v>
      </c>
      <c r="D16" s="29" t="s">
        <v>16</v>
      </c>
      <c r="E16" s="29" t="s">
        <v>51</v>
      </c>
      <c r="F16" s="14">
        <v>3476</v>
      </c>
      <c r="G16" s="14">
        <v>355</v>
      </c>
      <c r="H16" s="14">
        <v>396</v>
      </c>
      <c r="I16" s="14">
        <v>37492</v>
      </c>
      <c r="J16" s="14">
        <v>27285</v>
      </c>
      <c r="K16" s="14">
        <v>179</v>
      </c>
      <c r="L16" s="29" t="s">
        <v>19</v>
      </c>
      <c r="M16" s="29" t="s">
        <v>24</v>
      </c>
      <c r="N16" s="29" t="s">
        <v>20</v>
      </c>
      <c r="O16" s="29" t="str">
        <f>IF(AND(C16&gt;='Task 1.2'!$B$2,C16&lt;='Task 1.2'!$C$2),"During","Before")</f>
        <v>Before</v>
      </c>
      <c r="P16" s="26">
        <f ca="1">AVERAGEIF(O16:O314,"Before",Posts[[#This Row],[engagement rate]])</f>
        <v>9.6872698373685857</v>
      </c>
      <c r="Q16" s="26">
        <f t="shared" si="1"/>
        <v>10.320443958048578</v>
      </c>
      <c r="R16" s="26">
        <f ca="1">Posts[[#This Row],[Avg. During]]-Posts[[#This Row],[Avg. Before]]/Posts[[#This Row],[Avg. Before]]</f>
        <v>9.3204439580485783</v>
      </c>
      <c r="S16" s="26">
        <v>11.75184039261709</v>
      </c>
    </row>
    <row r="17" spans="1:19">
      <c r="A17" s="29" t="s">
        <v>52</v>
      </c>
      <c r="B17" s="29" t="s">
        <v>27</v>
      </c>
      <c r="C17" s="38">
        <v>45655</v>
      </c>
      <c r="D17" s="29" t="s">
        <v>28</v>
      </c>
      <c r="E17" s="29" t="s">
        <v>29</v>
      </c>
      <c r="F17" s="14">
        <v>4049</v>
      </c>
      <c r="G17" s="14">
        <v>377</v>
      </c>
      <c r="H17" s="14">
        <v>94</v>
      </c>
      <c r="I17" s="14">
        <v>48182</v>
      </c>
      <c r="J17" s="14">
        <v>42875</v>
      </c>
      <c r="K17" s="14">
        <v>172</v>
      </c>
      <c r="L17" s="29" t="s">
        <v>30</v>
      </c>
      <c r="M17" s="29" t="s">
        <v>19</v>
      </c>
      <c r="N17" s="29" t="s">
        <v>20</v>
      </c>
      <c r="O17" s="29" t="str">
        <f>IF(AND(C17&gt;='Task 1.2'!$B$2,C17&lt;='Task 1.2'!$C$2),"During","Before")</f>
        <v>Before</v>
      </c>
      <c r="P17" s="26">
        <f ca="1">AVERAGEIF(O17:O315,"Before",Posts[[#This Row],[engagement rate]])</f>
        <v>9.6795082939278014</v>
      </c>
      <c r="Q17" s="26">
        <f t="shared" si="1"/>
        <v>10.853483559661177</v>
      </c>
      <c r="R17" s="26">
        <f ca="1">Posts[[#This Row],[Avg. During]]-Posts[[#This Row],[Avg. Before]]/Posts[[#This Row],[Avg. Before]]</f>
        <v>9.8534835596611767</v>
      </c>
      <c r="S17" s="26">
        <v>9.7380764600888288</v>
      </c>
    </row>
    <row r="18" spans="1:19">
      <c r="A18" s="29" t="s">
        <v>53</v>
      </c>
      <c r="B18" s="29" t="s">
        <v>27</v>
      </c>
      <c r="C18" s="38">
        <v>45453</v>
      </c>
      <c r="D18" s="29" t="s">
        <v>16</v>
      </c>
      <c r="E18" s="29" t="s">
        <v>38</v>
      </c>
      <c r="F18" s="14">
        <v>1514</v>
      </c>
      <c r="G18" s="14">
        <v>164</v>
      </c>
      <c r="H18" s="14">
        <v>275</v>
      </c>
      <c r="I18" s="14">
        <v>41364</v>
      </c>
      <c r="J18" s="14">
        <v>44389</v>
      </c>
      <c r="K18" s="14">
        <v>83</v>
      </c>
      <c r="L18" s="29" t="s">
        <v>19</v>
      </c>
      <c r="M18" s="29" t="s">
        <v>24</v>
      </c>
      <c r="N18" s="29" t="s">
        <v>20</v>
      </c>
      <c r="O18" s="29" t="str">
        <f>IF(AND(C18&gt;='Task 1.2'!$B$2,C18&lt;='Task 1.2'!$C$2),"During","Before")</f>
        <v>Before</v>
      </c>
      <c r="P18" s="26">
        <f ca="1">AVERAGEIF(O18:O316,"Before",Posts[[#This Row],[engagement rate]])</f>
        <v>9.6792872819800255</v>
      </c>
      <c r="Q18" s="26">
        <f t="shared" si="1"/>
        <v>9.0989430095988748</v>
      </c>
      <c r="R18" s="26">
        <f ca="1">Posts[[#This Row],[Avg. During]]-Posts[[#This Row],[Avg. Before]]/Posts[[#This Row],[Avg. Before]]</f>
        <v>8.0989430095988748</v>
      </c>
      <c r="S18" s="26">
        <v>4.9221545305096219</v>
      </c>
    </row>
    <row r="19" spans="1:19">
      <c r="A19" s="29" t="s">
        <v>54</v>
      </c>
      <c r="B19" s="29" t="s">
        <v>15</v>
      </c>
      <c r="C19" s="38">
        <v>45325</v>
      </c>
      <c r="D19" s="29" t="s">
        <v>28</v>
      </c>
      <c r="E19" s="29" t="s">
        <v>35</v>
      </c>
      <c r="F19" s="14">
        <v>4281</v>
      </c>
      <c r="G19" s="14">
        <v>101</v>
      </c>
      <c r="H19" s="14">
        <v>163</v>
      </c>
      <c r="I19" s="14">
        <v>32278</v>
      </c>
      <c r="J19" s="14">
        <v>53382</v>
      </c>
      <c r="K19" s="14">
        <v>235</v>
      </c>
      <c r="L19" s="29" t="s">
        <v>19</v>
      </c>
      <c r="M19" s="29" t="s">
        <v>24</v>
      </c>
      <c r="N19" s="29" t="s">
        <v>55</v>
      </c>
      <c r="O19" s="29" t="str">
        <f>IF(AND(C19&gt;='Task 1.2'!$B$2,C19&lt;='Task 1.2'!$C$2),"During","Before")</f>
        <v>Before</v>
      </c>
      <c r="P19" s="26">
        <f ca="1">AVERAGEIF(O19:O317,"Before",Posts[[#This Row],[engagement rate]])</f>
        <v>9.6973067242204447</v>
      </c>
      <c r="Q19" s="26">
        <f t="shared" si="1"/>
        <v>7.3855655866043621</v>
      </c>
      <c r="R19" s="26">
        <f ca="1">Posts[[#This Row],[Avg. During]]-Posts[[#This Row],[Avg. Before]]/Posts[[#This Row],[Avg. Before]]</f>
        <v>6.3855655866043621</v>
      </c>
      <c r="S19" s="26">
        <v>14.808848131854512</v>
      </c>
    </row>
    <row r="20" spans="1:19">
      <c r="A20" s="29" t="s">
        <v>56</v>
      </c>
      <c r="B20" s="29" t="s">
        <v>34</v>
      </c>
      <c r="C20" s="38">
        <v>45458</v>
      </c>
      <c r="D20" s="29" t="s">
        <v>57</v>
      </c>
      <c r="E20" s="29" t="s">
        <v>40</v>
      </c>
      <c r="F20" s="14">
        <v>1751</v>
      </c>
      <c r="G20" s="14">
        <v>143</v>
      </c>
      <c r="H20" s="14">
        <v>151</v>
      </c>
      <c r="I20" s="14">
        <v>31826</v>
      </c>
      <c r="J20" s="14">
        <v>47729</v>
      </c>
      <c r="K20" s="14">
        <v>95</v>
      </c>
      <c r="L20" s="29" t="s">
        <v>23</v>
      </c>
      <c r="M20" s="29" t="s">
        <v>18</v>
      </c>
      <c r="N20" s="29" t="s">
        <v>58</v>
      </c>
      <c r="O20" s="29" t="str">
        <f>IF(AND(C20&gt;='Task 1.2'!$B$2,C20&lt;='Task 1.2'!$C$2),"During","Before")</f>
        <v>During</v>
      </c>
      <c r="P20" s="26">
        <f ca="1">AVERAGEIF(O20:O318,"Before",Posts[[#This Row],[engagement rate]])</f>
        <v>9.6778712055602387</v>
      </c>
      <c r="Q20" s="26">
        <f t="shared" si="1"/>
        <v>9.0252709351662546</v>
      </c>
      <c r="R20" s="26">
        <f ca="1">Posts[[#This Row],[Avg. During]]-Posts[[#This Row],[Avg. Before]]/Posts[[#This Row],[Avg. Before]]</f>
        <v>8.0252709351662546</v>
      </c>
      <c r="S20" s="26">
        <v>6.7240620876013315</v>
      </c>
    </row>
    <row r="21" spans="1:19">
      <c r="A21" s="29" t="s">
        <v>59</v>
      </c>
      <c r="B21" s="29" t="s">
        <v>15</v>
      </c>
      <c r="C21" s="38">
        <v>45478</v>
      </c>
      <c r="D21" s="29" t="s">
        <v>16</v>
      </c>
      <c r="E21" s="29" t="s">
        <v>51</v>
      </c>
      <c r="F21" s="14">
        <v>3753</v>
      </c>
      <c r="G21" s="14">
        <v>411</v>
      </c>
      <c r="H21" s="14">
        <v>308</v>
      </c>
      <c r="I21" s="14">
        <v>29138</v>
      </c>
      <c r="J21" s="14">
        <v>27678</v>
      </c>
      <c r="K21" s="14">
        <v>90</v>
      </c>
      <c r="L21" s="29" t="s">
        <v>23</v>
      </c>
      <c r="M21" s="29" t="s">
        <v>24</v>
      </c>
      <c r="N21" s="29" t="s">
        <v>25</v>
      </c>
      <c r="O21" s="29" t="str">
        <f>IF(AND(C21&gt;='Task 1.2'!$B$2,C21&lt;='Task 1.2'!$C$2),"During","Before")</f>
        <v>During</v>
      </c>
      <c r="P21" s="26">
        <f ca="1">AVERAGEIF(O21:O319,"Before",Posts[[#This Row],[engagement rate]])</f>
        <v>9.6778712055602387</v>
      </c>
      <c r="Q21" s="26">
        <f t="shared" si="1"/>
        <v>9.2825829410043799</v>
      </c>
      <c r="R21" s="26">
        <f ca="1">Posts[[#This Row],[Avg. During]]-Posts[[#This Row],[Avg. Before]]/Posts[[#This Row],[Avg. Before]]</f>
        <v>8.2825829410043799</v>
      </c>
      <c r="S21" s="26">
        <v>15.656530990459194</v>
      </c>
    </row>
    <row r="22" spans="1:19">
      <c r="A22" s="29" t="s">
        <v>60</v>
      </c>
      <c r="B22" s="29" t="s">
        <v>15</v>
      </c>
      <c r="C22" s="38">
        <v>45603</v>
      </c>
      <c r="D22" s="29" t="s">
        <v>28</v>
      </c>
      <c r="E22" s="29" t="s">
        <v>32</v>
      </c>
      <c r="F22" s="14">
        <v>1678</v>
      </c>
      <c r="G22" s="14">
        <v>423</v>
      </c>
      <c r="H22" s="14">
        <v>323</v>
      </c>
      <c r="I22" s="14">
        <v>55668</v>
      </c>
      <c r="J22" s="14">
        <v>37945</v>
      </c>
      <c r="K22" s="14">
        <v>230</v>
      </c>
      <c r="L22" s="29" t="s">
        <v>19</v>
      </c>
      <c r="M22" s="29" t="s">
        <v>24</v>
      </c>
      <c r="N22" s="29" t="s">
        <v>55</v>
      </c>
      <c r="O22" s="29" t="str">
        <f>IF(AND(C22&gt;='Task 1.2'!$B$2,C22&lt;='Task 1.2'!$C$2),"During","Before")</f>
        <v>Before</v>
      </c>
      <c r="P22" s="26">
        <f ca="1">AVERAGEIF(O22:O320,"Before",Posts[[#This Row],[engagement rate]])</f>
        <v>9.6778712055602387</v>
      </c>
      <c r="Q22" s="26">
        <f t="shared" si="1"/>
        <v>9.5255206969552297</v>
      </c>
      <c r="R22" s="26">
        <f ca="1">Posts[[#This Row],[Avg. During]]-Posts[[#This Row],[Avg. Before]]/Posts[[#This Row],[Avg. Before]]</f>
        <v>8.5255206969552297</v>
      </c>
      <c r="S22" s="26">
        <v>4.7675504778328666</v>
      </c>
    </row>
    <row r="23" spans="1:19">
      <c r="A23" s="29" t="s">
        <v>61</v>
      </c>
      <c r="B23" s="29" t="s">
        <v>15</v>
      </c>
      <c r="C23" s="38">
        <v>45823</v>
      </c>
      <c r="D23" s="29" t="s">
        <v>16</v>
      </c>
      <c r="E23" s="29" t="s">
        <v>38</v>
      </c>
      <c r="F23" s="14">
        <v>4896</v>
      </c>
      <c r="G23" s="14">
        <v>466</v>
      </c>
      <c r="H23" s="14">
        <v>233</v>
      </c>
      <c r="I23" s="14">
        <v>28621</v>
      </c>
      <c r="J23" s="14">
        <v>34270</v>
      </c>
      <c r="K23" s="14">
        <v>84</v>
      </c>
      <c r="L23" s="29" t="s">
        <v>18</v>
      </c>
      <c r="M23" s="29" t="s">
        <v>19</v>
      </c>
      <c r="N23" s="29" t="s">
        <v>20</v>
      </c>
      <c r="O23" s="29" t="str">
        <f>IF(AND(C23&gt;='Task 1.2'!$B$2,C23&lt;='Task 1.2'!$C$2),"During","Before")</f>
        <v>Before</v>
      </c>
      <c r="P23" s="26">
        <f ca="1">AVERAGEIF(O23:O321,"Before",Posts[[#This Row],[engagement rate]])</f>
        <v>9.6966128877271363</v>
      </c>
      <c r="Q23" s="26">
        <f t="shared" si="1"/>
        <v>9.2242411706579936</v>
      </c>
      <c r="R23" s="26">
        <f ca="1">Posts[[#This Row],[Avg. During]]-Posts[[#This Row],[Avg. Before]]/Posts[[#This Row],[Avg. Before]]</f>
        <v>8.2242411706579936</v>
      </c>
      <c r="S23" s="26">
        <v>19.842074001607212</v>
      </c>
    </row>
    <row r="24" spans="1:19">
      <c r="A24" s="29" t="s">
        <v>62</v>
      </c>
      <c r="B24" s="29" t="s">
        <v>34</v>
      </c>
      <c r="C24" s="38">
        <v>45452</v>
      </c>
      <c r="D24" s="29" t="s">
        <v>57</v>
      </c>
      <c r="E24" s="29" t="s">
        <v>49</v>
      </c>
      <c r="F24" s="14">
        <v>2786</v>
      </c>
      <c r="G24" s="14">
        <v>368</v>
      </c>
      <c r="H24" s="14">
        <v>208</v>
      </c>
      <c r="I24" s="14">
        <v>42000</v>
      </c>
      <c r="J24" s="14">
        <v>39967</v>
      </c>
      <c r="K24" s="14">
        <v>103</v>
      </c>
      <c r="L24" s="29" t="s">
        <v>23</v>
      </c>
      <c r="M24" s="29" t="s">
        <v>18</v>
      </c>
      <c r="N24" s="29" t="s">
        <v>58</v>
      </c>
      <c r="O24" s="29" t="str">
        <f>IF(AND(C24&gt;='Task 1.2'!$B$2,C24&lt;='Task 1.2'!$C$2),"During","Before")</f>
        <v>Before</v>
      </c>
      <c r="P24" s="26">
        <f ca="1">AVERAGEIF(O24:O322,"Before",Posts[[#This Row],[engagement rate]])</f>
        <v>9.6577413892065209</v>
      </c>
      <c r="Q24" s="26">
        <f t="shared" si="1"/>
        <v>9.0643083833149092</v>
      </c>
      <c r="R24" s="26">
        <f ca="1">Posts[[#This Row],[Avg. During]]-Posts[[#This Row],[Avg. Before]]/Posts[[#This Row],[Avg. Before]]</f>
        <v>8.0643083833149092</v>
      </c>
      <c r="S24" s="26">
        <v>8.25</v>
      </c>
    </row>
    <row r="25" spans="1:19">
      <c r="A25" s="29" t="s">
        <v>63</v>
      </c>
      <c r="B25" s="29" t="s">
        <v>27</v>
      </c>
      <c r="C25" s="38">
        <v>45583</v>
      </c>
      <c r="D25" s="29" t="s">
        <v>16</v>
      </c>
      <c r="E25" s="29" t="s">
        <v>29</v>
      </c>
      <c r="F25" s="14">
        <v>2607</v>
      </c>
      <c r="G25" s="14">
        <v>379</v>
      </c>
      <c r="H25" s="14">
        <v>180</v>
      </c>
      <c r="I25" s="14">
        <v>28712</v>
      </c>
      <c r="J25" s="14">
        <v>61620</v>
      </c>
      <c r="K25" s="14">
        <v>174</v>
      </c>
      <c r="L25" s="29" t="s">
        <v>18</v>
      </c>
      <c r="M25" s="29" t="s">
        <v>24</v>
      </c>
      <c r="N25" s="29" t="s">
        <v>25</v>
      </c>
      <c r="O25" s="29" t="str">
        <f>IF(AND(C25&gt;='Task 1.2'!$B$2,C25&lt;='Task 1.2'!$C$2),"During","Before")</f>
        <v>Before</v>
      </c>
      <c r="P25" s="26">
        <f ca="1">AVERAGEIF(O25:O323,"Before",Posts[[#This Row],[engagement rate]])</f>
        <v>9.6631557791650078</v>
      </c>
      <c r="Q25" s="26">
        <f t="shared" si="1"/>
        <v>10.968412046538038</v>
      </c>
      <c r="R25" s="26">
        <f ca="1">Posts[[#This Row],[Avg. During]]-Posts[[#This Row],[Avg. Before]]/Posts[[#This Row],[Avg. Before]]</f>
        <v>9.9684120465380381</v>
      </c>
      <c r="S25" s="26">
        <v>11.632766787405963</v>
      </c>
    </row>
    <row r="26" spans="1:19">
      <c r="A26" s="29" t="s">
        <v>64</v>
      </c>
      <c r="B26" s="29" t="s">
        <v>34</v>
      </c>
      <c r="C26" s="38">
        <v>45575</v>
      </c>
      <c r="D26" s="29" t="s">
        <v>57</v>
      </c>
      <c r="E26" s="29" t="s">
        <v>49</v>
      </c>
      <c r="F26" s="14">
        <v>4013</v>
      </c>
      <c r="G26" s="14">
        <v>320</v>
      </c>
      <c r="H26" s="14">
        <v>92</v>
      </c>
      <c r="I26" s="14">
        <v>54605</v>
      </c>
      <c r="J26" s="14">
        <v>60169</v>
      </c>
      <c r="K26" s="14">
        <v>232</v>
      </c>
      <c r="L26" s="29" t="s">
        <v>23</v>
      </c>
      <c r="M26" s="29" t="s">
        <v>18</v>
      </c>
      <c r="N26" s="29" t="s">
        <v>58</v>
      </c>
      <c r="O26" s="29" t="str">
        <f>IF(AND(C26&gt;='Task 1.2'!$B$2,C26&lt;='Task 1.2'!$C$2),"During","Before")</f>
        <v>Before</v>
      </c>
      <c r="P26" s="26">
        <f ca="1">AVERAGEIF(O26:O324,"Before",Posts[[#This Row],[engagement rate]])</f>
        <v>9.6555511034575137</v>
      </c>
      <c r="Q26" s="26">
        <f t="shared" si="1"/>
        <v>7.3836065087929237</v>
      </c>
      <c r="R26" s="26">
        <f ca="1">Posts[[#This Row],[Avg. During]]-Posts[[#This Row],[Avg. Before]]/Posts[[#This Row],[Avg. Before]]</f>
        <v>6.3836065087929237</v>
      </c>
      <c r="S26" s="26">
        <v>8.5285230290266458</v>
      </c>
    </row>
    <row r="27" spans="1:19">
      <c r="A27" s="29" t="s">
        <v>65</v>
      </c>
      <c r="B27" s="29" t="s">
        <v>27</v>
      </c>
      <c r="C27" s="38">
        <v>45791</v>
      </c>
      <c r="D27" s="29" t="s">
        <v>28</v>
      </c>
      <c r="E27" s="29" t="s">
        <v>49</v>
      </c>
      <c r="F27" s="14">
        <v>2707</v>
      </c>
      <c r="G27" s="14">
        <v>103</v>
      </c>
      <c r="H27" s="14">
        <v>51</v>
      </c>
      <c r="I27" s="14">
        <v>55302</v>
      </c>
      <c r="J27" s="14">
        <v>18801</v>
      </c>
      <c r="K27" s="14">
        <v>147</v>
      </c>
      <c r="L27" s="29" t="s">
        <v>23</v>
      </c>
      <c r="M27" s="29" t="s">
        <v>30</v>
      </c>
      <c r="N27" s="29" t="s">
        <v>20</v>
      </c>
      <c r="O27" s="29" t="str">
        <f>IF(AND(C27&gt;='Task 1.2'!$B$2,C27&lt;='Task 1.2'!$C$2),"During","Before")</f>
        <v>Before</v>
      </c>
      <c r="P27" s="26">
        <f ca="1">AVERAGEIF(O27:O325,"Before",Posts[[#This Row],[engagement rate]])</f>
        <v>9.6599194293274024</v>
      </c>
      <c r="Q27" s="26">
        <f t="shared" si="1"/>
        <v>10.078319139754413</v>
      </c>
      <c r="R27" s="26">
        <f ca="1">Posts[[#This Row],[Avg. During]]-Posts[[#This Row],[Avg. Before]]/Posts[[#This Row],[Avg. Before]]</f>
        <v>9.078319139754413</v>
      </c>
      <c r="S27" s="26">
        <v>5.4392246211710242</v>
      </c>
    </row>
    <row r="28" spans="1:19">
      <c r="A28" s="29" t="s">
        <v>66</v>
      </c>
      <c r="B28" s="29" t="s">
        <v>15</v>
      </c>
      <c r="C28" s="38">
        <v>45625</v>
      </c>
      <c r="D28" s="29" t="s">
        <v>16</v>
      </c>
      <c r="E28" s="29" t="s">
        <v>38</v>
      </c>
      <c r="F28" s="14">
        <v>2824</v>
      </c>
      <c r="G28" s="14">
        <v>425</v>
      </c>
      <c r="H28" s="14">
        <v>274</v>
      </c>
      <c r="I28" s="14">
        <v>31004</v>
      </c>
      <c r="J28" s="14">
        <v>53488</v>
      </c>
      <c r="K28" s="14">
        <v>268</v>
      </c>
      <c r="L28" s="29" t="s">
        <v>18</v>
      </c>
      <c r="M28" s="29" t="s">
        <v>19</v>
      </c>
      <c r="N28" s="29" t="s">
        <v>20</v>
      </c>
      <c r="O28" s="29" t="str">
        <f>IF(AND(C28&gt;='Task 1.2'!$B$2,C28&lt;='Task 1.2'!$C$2),"During","Before")</f>
        <v>Before</v>
      </c>
      <c r="P28" s="26">
        <f ca="1">AVERAGEIF(O28:O326,"Before",Posts[[#This Row],[engagement rate]])</f>
        <v>9.6763423663241177</v>
      </c>
      <c r="Q28" s="26">
        <f t="shared" si="1"/>
        <v>10.675409342880513</v>
      </c>
      <c r="R28" s="26">
        <f ca="1">Posts[[#This Row],[Avg. During]]-Posts[[#This Row],[Avg. Before]]/Posts[[#This Row],[Avg. Before]]</f>
        <v>9.6754093428805135</v>
      </c>
      <c r="S28" s="26">
        <v>12.227454521997162</v>
      </c>
    </row>
    <row r="29" spans="1:19">
      <c r="A29" s="29" t="s">
        <v>67</v>
      </c>
      <c r="B29" s="29" t="s">
        <v>34</v>
      </c>
      <c r="C29" s="38">
        <v>45356</v>
      </c>
      <c r="D29" s="29" t="s">
        <v>57</v>
      </c>
      <c r="E29" s="29" t="s">
        <v>22</v>
      </c>
      <c r="F29" s="14">
        <v>3558</v>
      </c>
      <c r="G29" s="14">
        <v>314</v>
      </c>
      <c r="H29" s="14">
        <v>199</v>
      </c>
      <c r="I29" s="14">
        <v>49612</v>
      </c>
      <c r="J29" s="14">
        <v>53929</v>
      </c>
      <c r="K29" s="14">
        <v>206</v>
      </c>
      <c r="L29" s="29" t="s">
        <v>23</v>
      </c>
      <c r="M29" s="29" t="s">
        <v>18</v>
      </c>
      <c r="N29" s="29" t="s">
        <v>58</v>
      </c>
      <c r="O29" s="29" t="str">
        <f>IF(AND(C29&gt;='Task 1.2'!$B$2,C29&lt;='Task 1.2'!$C$2),"During","Before")</f>
        <v>Before</v>
      </c>
      <c r="P29" s="26">
        <f ca="1">AVERAGEIF(O29:O327,"Before",Posts[[#This Row],[engagement rate]])</f>
        <v>9.6663770844660206</v>
      </c>
      <c r="Q29" s="26">
        <f t="shared" si="1"/>
        <v>11.518819646622994</v>
      </c>
      <c r="R29" s="26">
        <f ca="1">Posts[[#This Row],[Avg. During]]-Posts[[#This Row],[Avg. Before]]/Posts[[#This Row],[Avg. Before]]</f>
        <v>10.518819646622994</v>
      </c>
      <c r="S29" s="26">
        <v>8.6208981697976288</v>
      </c>
    </row>
    <row r="30" spans="1:19">
      <c r="A30" s="29" t="s">
        <v>68</v>
      </c>
      <c r="B30" s="29" t="s">
        <v>27</v>
      </c>
      <c r="C30" s="38">
        <v>45734</v>
      </c>
      <c r="D30" s="29" t="s">
        <v>28</v>
      </c>
      <c r="E30" s="29" t="s">
        <v>22</v>
      </c>
      <c r="F30" s="14">
        <v>3418</v>
      </c>
      <c r="G30" s="14">
        <v>188</v>
      </c>
      <c r="H30" s="14">
        <v>387</v>
      </c>
      <c r="I30" s="14">
        <v>57431</v>
      </c>
      <c r="J30" s="14">
        <v>36933</v>
      </c>
      <c r="K30" s="14">
        <v>202</v>
      </c>
      <c r="L30" s="29" t="s">
        <v>30</v>
      </c>
      <c r="M30" s="29" t="s">
        <v>19</v>
      </c>
      <c r="N30" s="29" t="s">
        <v>20</v>
      </c>
      <c r="O30" s="29" t="str">
        <f>IF(AND(C30&gt;='Task 1.2'!$B$2,C30&lt;='Task 1.2'!$C$2),"During","Before")</f>
        <v>Before</v>
      </c>
      <c r="P30" s="26">
        <f ca="1">AVERAGEIF(O30:O328,"Before",Posts[[#This Row],[engagement rate]])</f>
        <v>9.6704770017784458</v>
      </c>
      <c r="Q30" s="26">
        <f t="shared" si="1"/>
        <v>9.5658192367087658</v>
      </c>
      <c r="R30" s="26">
        <f ca="1">Posts[[#This Row],[Avg. During]]-Posts[[#This Row],[Avg. Before]]/Posts[[#This Row],[Avg. Before]]</f>
        <v>8.5658192367087658</v>
      </c>
      <c r="S30" s="26">
        <v>7.3044174748829027</v>
      </c>
    </row>
    <row r="31" spans="1:19">
      <c r="A31" s="29" t="s">
        <v>69</v>
      </c>
      <c r="B31" s="29" t="s">
        <v>27</v>
      </c>
      <c r="C31" s="38">
        <v>45773</v>
      </c>
      <c r="D31" s="29" t="s">
        <v>16</v>
      </c>
      <c r="E31" s="29" t="s">
        <v>17</v>
      </c>
      <c r="F31" s="14">
        <v>2411</v>
      </c>
      <c r="G31" s="14">
        <v>194</v>
      </c>
      <c r="H31" s="14">
        <v>168</v>
      </c>
      <c r="I31" s="14">
        <v>26665</v>
      </c>
      <c r="J31" s="14">
        <v>71699</v>
      </c>
      <c r="K31" s="14">
        <v>197</v>
      </c>
      <c r="L31" s="29" t="s">
        <v>19</v>
      </c>
      <c r="M31" s="29" t="s">
        <v>24</v>
      </c>
      <c r="N31" s="29" t="s">
        <v>20</v>
      </c>
      <c r="O31" s="29" t="str">
        <f>IF(AND(C31&gt;='Task 1.2'!$B$2,C31&lt;='Task 1.2'!$C$2),"During","Before")</f>
        <v>Before</v>
      </c>
      <c r="P31" s="26">
        <f ca="1">AVERAGEIF(O31:O329,"Before",Posts[[#This Row],[engagement rate]])</f>
        <v>9.6797921967662237</v>
      </c>
      <c r="Q31" s="26">
        <f t="shared" si="1"/>
        <v>9.9028710864031719</v>
      </c>
      <c r="R31" s="26">
        <f ca="1">Posts[[#This Row],[Avg. During]]-Posts[[#This Row],[Avg. Before]]/Posts[[#This Row],[Avg. Before]]</f>
        <v>8.9028710864031719</v>
      </c>
      <c r="S31" s="26">
        <v>11.138196137258578</v>
      </c>
    </row>
    <row r="32" spans="1:19">
      <c r="A32" s="29" t="s">
        <v>70</v>
      </c>
      <c r="B32" s="29" t="s">
        <v>15</v>
      </c>
      <c r="C32" s="38">
        <v>45658</v>
      </c>
      <c r="D32" s="29" t="s">
        <v>16</v>
      </c>
      <c r="E32" s="29" t="s">
        <v>29</v>
      </c>
      <c r="F32" s="14">
        <v>4036</v>
      </c>
      <c r="G32" s="14">
        <v>112</v>
      </c>
      <c r="H32" s="14">
        <v>382</v>
      </c>
      <c r="I32" s="14">
        <v>56284</v>
      </c>
      <c r="J32" s="14">
        <v>29440</v>
      </c>
      <c r="K32" s="14">
        <v>279</v>
      </c>
      <c r="L32" s="29" t="s">
        <v>18</v>
      </c>
      <c r="M32" s="29" t="s">
        <v>19</v>
      </c>
      <c r="N32" s="29" t="s">
        <v>20</v>
      </c>
      <c r="O32" s="29" t="str">
        <f>IF(AND(C32&gt;='Task 1.2'!$B$2,C32&lt;='Task 1.2'!$C$2),"During","Before")</f>
        <v>Before</v>
      </c>
      <c r="P32" s="26">
        <f ca="1">AVERAGEIF(O32:O330,"Before",Posts[[#This Row],[engagement rate]])</f>
        <v>9.6740277543136841</v>
      </c>
      <c r="Q32" s="26">
        <f t="shared" si="1"/>
        <v>10.355705408281997</v>
      </c>
      <c r="R32" s="26">
        <f ca="1">Posts[[#This Row],[Avg. During]]-Posts[[#This Row],[Avg. Before]]/Posts[[#This Row],[Avg. Before]]</f>
        <v>9.355705408281997</v>
      </c>
      <c r="S32" s="26">
        <v>8.5441688579347606</v>
      </c>
    </row>
    <row r="33" spans="1:19">
      <c r="A33" s="29" t="s">
        <v>71</v>
      </c>
      <c r="B33" s="29" t="s">
        <v>27</v>
      </c>
      <c r="C33" s="38">
        <v>45419</v>
      </c>
      <c r="D33" s="29" t="s">
        <v>28</v>
      </c>
      <c r="E33" s="29" t="s">
        <v>22</v>
      </c>
      <c r="F33" s="14">
        <v>2776</v>
      </c>
      <c r="G33" s="14">
        <v>307</v>
      </c>
      <c r="H33" s="14">
        <v>178</v>
      </c>
      <c r="I33" s="14">
        <v>43365</v>
      </c>
      <c r="J33" s="14">
        <v>48408</v>
      </c>
      <c r="K33" s="14">
        <v>138</v>
      </c>
      <c r="L33" s="29" t="s">
        <v>18</v>
      </c>
      <c r="M33" s="29" t="s">
        <v>19</v>
      </c>
      <c r="N33" s="29" t="s">
        <v>20</v>
      </c>
      <c r="O33" s="29" t="str">
        <f>IF(AND(C33&gt;='Task 1.2'!$B$2,C33&lt;='Task 1.2'!$C$2),"During","Before")</f>
        <v>Before</v>
      </c>
      <c r="P33" s="26">
        <f ca="1">AVERAGEIF(O33:O331,"Before",Posts[[#This Row],[engagement rate]])</f>
        <v>9.6785113213628069</v>
      </c>
      <c r="Q33" s="26">
        <f t="shared" si="1"/>
        <v>10.214922184392083</v>
      </c>
      <c r="R33" s="26">
        <f ca="1">Posts[[#This Row],[Avg. During]]-Posts[[#This Row],[Avg. Before]]/Posts[[#This Row],[Avg. Before]]</f>
        <v>9.2149221843920834</v>
      </c>
      <c r="S33" s="26">
        <v>7.8381182981667239</v>
      </c>
    </row>
    <row r="34" spans="1:19">
      <c r="A34" s="29" t="s">
        <v>72</v>
      </c>
      <c r="B34" s="29" t="s">
        <v>27</v>
      </c>
      <c r="C34" s="38">
        <v>45574</v>
      </c>
      <c r="D34" s="29" t="s">
        <v>28</v>
      </c>
      <c r="E34" s="29" t="s">
        <v>17</v>
      </c>
      <c r="F34" s="14">
        <v>4929</v>
      </c>
      <c r="G34" s="14">
        <v>182</v>
      </c>
      <c r="H34" s="14">
        <v>95</v>
      </c>
      <c r="I34" s="14">
        <v>32181</v>
      </c>
      <c r="J34" s="14">
        <v>31084</v>
      </c>
      <c r="K34" s="14">
        <v>289</v>
      </c>
      <c r="L34" s="29" t="s">
        <v>23</v>
      </c>
      <c r="M34" s="29" t="s">
        <v>30</v>
      </c>
      <c r="N34" s="29" t="s">
        <v>20</v>
      </c>
      <c r="O34" s="29" t="str">
        <f>IF(AND(C34&gt;='Task 1.2'!$B$2,C34&lt;='Task 1.2'!$C$2),"During","Before")</f>
        <v>Before</v>
      </c>
      <c r="P34" s="26">
        <f ca="1">AVERAGEIF(O34:O332,"Before",Posts[[#This Row],[engagement rate]])</f>
        <v>9.6858435644831093</v>
      </c>
      <c r="Q34" s="26">
        <f t="shared" si="1"/>
        <v>9.6453822051468503</v>
      </c>
      <c r="R34" s="26">
        <f ca="1">Posts[[#This Row],[Avg. During]]-Posts[[#This Row],[Avg. Before]]/Posts[[#This Row],[Avg. Before]]</f>
        <v>8.6453822051468503</v>
      </c>
      <c r="S34" s="26">
        <v>17.075292874677604</v>
      </c>
    </row>
    <row r="35" spans="1:19">
      <c r="A35" s="29" t="s">
        <v>73</v>
      </c>
      <c r="B35" s="29" t="s">
        <v>15</v>
      </c>
      <c r="C35" s="38">
        <v>45666</v>
      </c>
      <c r="D35" s="29" t="s">
        <v>16</v>
      </c>
      <c r="E35" s="29" t="s">
        <v>29</v>
      </c>
      <c r="F35" s="14">
        <v>1015</v>
      </c>
      <c r="G35" s="14">
        <v>366</v>
      </c>
      <c r="H35" s="14">
        <v>308</v>
      </c>
      <c r="I35" s="14">
        <v>38127</v>
      </c>
      <c r="J35" s="14">
        <v>63790</v>
      </c>
      <c r="K35" s="14">
        <v>287</v>
      </c>
      <c r="L35" s="29" t="s">
        <v>18</v>
      </c>
      <c r="M35" s="29" t="s">
        <v>19</v>
      </c>
      <c r="N35" s="29" t="s">
        <v>20</v>
      </c>
      <c r="O35" s="29" t="str">
        <f>IF(AND(C35&gt;='Task 1.2'!$B$2,C35&lt;='Task 1.2'!$C$2),"During","Before")</f>
        <v>Before</v>
      </c>
      <c r="P35" s="26">
        <f ca="1">AVERAGEIF(O35:O333,"Before",Posts[[#This Row],[engagement rate]])</f>
        <v>9.6562857672423323</v>
      </c>
      <c r="Q35" s="26">
        <f t="shared" si="1"/>
        <v>10.936467057733205</v>
      </c>
      <c r="R35" s="26">
        <f ca="1">Posts[[#This Row],[Avg. During]]-Posts[[#This Row],[Avg. Before]]/Posts[[#This Row],[Avg. Before]]</f>
        <v>9.9364670577332053</v>
      </c>
      <c r="S35" s="26">
        <v>5.1826789414325809</v>
      </c>
    </row>
    <row r="36" spans="1:19">
      <c r="A36" s="29" t="s">
        <v>74</v>
      </c>
      <c r="B36" s="29" t="s">
        <v>27</v>
      </c>
      <c r="C36" s="38">
        <v>45785</v>
      </c>
      <c r="D36" s="29" t="s">
        <v>28</v>
      </c>
      <c r="E36" s="29" t="s">
        <v>51</v>
      </c>
      <c r="F36" s="14">
        <v>3316</v>
      </c>
      <c r="G36" s="14">
        <v>332</v>
      </c>
      <c r="H36" s="14">
        <v>268</v>
      </c>
      <c r="I36" s="14">
        <v>40095</v>
      </c>
      <c r="J36" s="14">
        <v>36913</v>
      </c>
      <c r="K36" s="14">
        <v>265</v>
      </c>
      <c r="L36" s="29" t="s">
        <v>30</v>
      </c>
      <c r="M36" s="29" t="s">
        <v>19</v>
      </c>
      <c r="N36" s="29" t="s">
        <v>20</v>
      </c>
      <c r="O36" s="29" t="str">
        <f>IF(AND(C36&gt;='Task 1.2'!$B$2,C36&lt;='Task 1.2'!$C$2),"During","Before")</f>
        <v>Before</v>
      </c>
      <c r="P36" s="26">
        <f ca="1">AVERAGEIF(O36:O334,"Before",Posts[[#This Row],[engagement rate]])</f>
        <v>9.6742520597154638</v>
      </c>
      <c r="Q36" s="26">
        <f t="shared" si="1"/>
        <v>10.515324751730827</v>
      </c>
      <c r="R36" s="26">
        <f ca="1">Posts[[#This Row],[Avg. During]]-Posts[[#This Row],[Avg. Before]]/Posts[[#This Row],[Avg. Before]]</f>
        <v>9.5153247517308266</v>
      </c>
      <c r="S36" s="26">
        <v>10.427734131437836</v>
      </c>
    </row>
    <row r="37" spans="1:19">
      <c r="A37" s="29" t="s">
        <v>75</v>
      </c>
      <c r="B37" s="29" t="s">
        <v>15</v>
      </c>
      <c r="C37" s="38">
        <v>45416</v>
      </c>
      <c r="D37" s="29" t="s">
        <v>16</v>
      </c>
      <c r="E37" s="29" t="s">
        <v>32</v>
      </c>
      <c r="F37" s="14">
        <v>2274</v>
      </c>
      <c r="G37" s="14">
        <v>243</v>
      </c>
      <c r="H37" s="14">
        <v>222</v>
      </c>
      <c r="I37" s="14">
        <v>43066</v>
      </c>
      <c r="J37" s="14">
        <v>59174</v>
      </c>
      <c r="K37" s="14">
        <v>80</v>
      </c>
      <c r="L37" s="29" t="s">
        <v>23</v>
      </c>
      <c r="M37" s="29" t="s">
        <v>24</v>
      </c>
      <c r="N37" s="29" t="s">
        <v>25</v>
      </c>
      <c r="O37" s="29" t="str">
        <f>IF(AND(C37&gt;='Task 1.2'!$B$2,C37&lt;='Task 1.2'!$C$2),"During","Before")</f>
        <v>Before</v>
      </c>
      <c r="P37" s="26">
        <f ca="1">AVERAGEIF(O37:O335,"Before",Posts[[#This Row],[engagement rate]])</f>
        <v>9.6712138255552915</v>
      </c>
      <c r="Q37" s="26">
        <f t="shared" si="1"/>
        <v>9.4835269417914869</v>
      </c>
      <c r="R37" s="26">
        <f ca="1">Posts[[#This Row],[Avg. During]]-Posts[[#This Row],[Avg. Before]]/Posts[[#This Row],[Avg. Before]]</f>
        <v>8.4835269417914869</v>
      </c>
      <c r="S37" s="26">
        <v>6.5457669623368782</v>
      </c>
    </row>
    <row r="38" spans="1:19">
      <c r="A38" s="29" t="s">
        <v>76</v>
      </c>
      <c r="B38" s="29" t="s">
        <v>27</v>
      </c>
      <c r="C38" s="38">
        <v>45804</v>
      </c>
      <c r="D38" s="29" t="s">
        <v>28</v>
      </c>
      <c r="E38" s="29" t="s">
        <v>22</v>
      </c>
      <c r="F38" s="14">
        <v>4095</v>
      </c>
      <c r="G38" s="14">
        <v>385</v>
      </c>
      <c r="H38" s="14">
        <v>400</v>
      </c>
      <c r="I38" s="14">
        <v>45300</v>
      </c>
      <c r="J38" s="14">
        <v>31795</v>
      </c>
      <c r="K38" s="14">
        <v>80</v>
      </c>
      <c r="L38" s="29" t="s">
        <v>30</v>
      </c>
      <c r="M38" s="29" t="s">
        <v>19</v>
      </c>
      <c r="N38" s="29" t="s">
        <v>20</v>
      </c>
      <c r="O38" s="29" t="str">
        <f>IF(AND(C38&gt;='Task 1.2'!$B$2,C38&lt;='Task 1.2'!$C$2),"During","Before")</f>
        <v>Before</v>
      </c>
      <c r="P38" s="26">
        <f ca="1">AVERAGEIF(O38:O336,"Before",Posts[[#This Row],[engagement rate]])</f>
        <v>9.683867456580467</v>
      </c>
      <c r="Q38" s="26">
        <f t="shared" si="1"/>
        <v>8.281200462590153</v>
      </c>
      <c r="R38" s="26">
        <f ca="1">Posts[[#This Row],[Avg. During]]-Posts[[#This Row],[Avg. Before]]/Posts[[#This Row],[Avg. Before]]</f>
        <v>7.281200462590153</v>
      </c>
      <c r="S38" s="26">
        <v>10.949227373068434</v>
      </c>
    </row>
    <row r="39" spans="1:19">
      <c r="A39" s="29" t="s">
        <v>77</v>
      </c>
      <c r="B39" s="29" t="s">
        <v>15</v>
      </c>
      <c r="C39" s="38">
        <v>45545</v>
      </c>
      <c r="D39" s="29" t="s">
        <v>28</v>
      </c>
      <c r="E39" s="29" t="s">
        <v>29</v>
      </c>
      <c r="F39" s="14">
        <v>1230</v>
      </c>
      <c r="G39" s="14">
        <v>309</v>
      </c>
      <c r="H39" s="14">
        <v>207</v>
      </c>
      <c r="I39" s="14">
        <v>44629</v>
      </c>
      <c r="J39" s="14">
        <v>40699</v>
      </c>
      <c r="K39" s="14">
        <v>195</v>
      </c>
      <c r="L39" s="29" t="s">
        <v>19</v>
      </c>
      <c r="M39" s="29" t="s">
        <v>24</v>
      </c>
      <c r="N39" s="29" t="s">
        <v>55</v>
      </c>
      <c r="O39" s="29" t="str">
        <f>IF(AND(C39&gt;='Task 1.2'!$B$2,C39&lt;='Task 1.2'!$C$2),"During","Before")</f>
        <v>Before</v>
      </c>
      <c r="P39" s="26">
        <f ca="1">AVERAGEIF(O39:O337,"Before",Posts[[#This Row],[engagement rate]])</f>
        <v>9.6787237170825478</v>
      </c>
      <c r="Q39" s="26">
        <f t="shared" si="1"/>
        <v>9.4094156780260718</v>
      </c>
      <c r="R39" s="26">
        <f ca="1">Posts[[#This Row],[Avg. During]]-Posts[[#This Row],[Avg. Before]]/Posts[[#This Row],[Avg. Before]]</f>
        <v>8.4094156780260718</v>
      </c>
      <c r="S39" s="26">
        <v>4.3491899885724532</v>
      </c>
    </row>
    <row r="40" spans="1:19">
      <c r="A40" s="29" t="s">
        <v>78</v>
      </c>
      <c r="B40" s="29" t="s">
        <v>15</v>
      </c>
      <c r="C40" s="38">
        <v>45621</v>
      </c>
      <c r="D40" s="29" t="s">
        <v>16</v>
      </c>
      <c r="E40" s="29" t="s">
        <v>49</v>
      </c>
      <c r="F40" s="14">
        <v>1341</v>
      </c>
      <c r="G40" s="14">
        <v>472</v>
      </c>
      <c r="H40" s="14">
        <v>238</v>
      </c>
      <c r="I40" s="14">
        <v>51386</v>
      </c>
      <c r="J40" s="14">
        <v>51706</v>
      </c>
      <c r="K40" s="14">
        <v>133</v>
      </c>
      <c r="L40" s="29" t="s">
        <v>23</v>
      </c>
      <c r="M40" s="29" t="s">
        <v>24</v>
      </c>
      <c r="N40" s="29" t="s">
        <v>25</v>
      </c>
      <c r="O40" s="29" t="str">
        <f>IF(AND(C40&gt;='Task 1.2'!$B$2,C40&lt;='Task 1.2'!$C$2),"During","Before")</f>
        <v>Before</v>
      </c>
      <c r="P40" s="26">
        <f ca="1">AVERAGEIF(O40:O338,"Before",Posts[[#This Row],[engagement rate]])</f>
        <v>9.7004769159744271</v>
      </c>
      <c r="Q40" s="26">
        <f t="shared" si="1"/>
        <v>9.6458636777426321</v>
      </c>
      <c r="R40" s="26">
        <f ca="1">Posts[[#This Row],[Avg. During]]-Posts[[#This Row],[Avg. Before]]/Posts[[#This Row],[Avg. Before]]</f>
        <v>8.6458636777426321</v>
      </c>
      <c r="S40" s="26">
        <v>4.2501848752578519</v>
      </c>
    </row>
    <row r="41" spans="1:19">
      <c r="A41" s="29" t="s">
        <v>79</v>
      </c>
      <c r="B41" s="29" t="s">
        <v>27</v>
      </c>
      <c r="C41" s="38">
        <v>45818</v>
      </c>
      <c r="D41" s="29" t="s">
        <v>16</v>
      </c>
      <c r="E41" s="29" t="s">
        <v>22</v>
      </c>
      <c r="F41" s="14">
        <v>3615</v>
      </c>
      <c r="G41" s="14">
        <v>192</v>
      </c>
      <c r="H41" s="14">
        <v>162</v>
      </c>
      <c r="I41" s="14">
        <v>27492</v>
      </c>
      <c r="J41" s="14">
        <v>35341</v>
      </c>
      <c r="K41" s="14">
        <v>125</v>
      </c>
      <c r="L41" s="29" t="s">
        <v>19</v>
      </c>
      <c r="M41" s="29" t="s">
        <v>24</v>
      </c>
      <c r="N41" s="29" t="s">
        <v>20</v>
      </c>
      <c r="O41" s="29" t="str">
        <f>IF(AND(C41&gt;='Task 1.2'!$B$2,C41&lt;='Task 1.2'!$C$2),"During","Before")</f>
        <v>Before</v>
      </c>
      <c r="P41" s="26">
        <f ca="1">AVERAGEIF(O41:O339,"Before",Posts[[#This Row],[engagement rate]])</f>
        <v>9.72281417843638</v>
      </c>
      <c r="Q41" s="26">
        <f t="shared" si="1"/>
        <v>9.1899229929957489</v>
      </c>
      <c r="R41" s="26">
        <f ca="1">Posts[[#This Row],[Avg. During]]-Posts[[#This Row],[Avg. Before]]/Posts[[#This Row],[Avg. Before]]</f>
        <v>8.1899229929957489</v>
      </c>
      <c r="S41" s="26">
        <v>14.891604830496144</v>
      </c>
    </row>
    <row r="42" spans="1:19">
      <c r="A42" s="29" t="s">
        <v>80</v>
      </c>
      <c r="B42" s="29" t="s">
        <v>15</v>
      </c>
      <c r="C42" s="38">
        <v>45401</v>
      </c>
      <c r="D42" s="29" t="s">
        <v>16</v>
      </c>
      <c r="E42" s="29" t="s">
        <v>29</v>
      </c>
      <c r="F42" s="14">
        <v>4001</v>
      </c>
      <c r="G42" s="14">
        <v>353</v>
      </c>
      <c r="H42" s="14">
        <v>129</v>
      </c>
      <c r="I42" s="14">
        <v>41265</v>
      </c>
      <c r="J42" s="14">
        <v>37279</v>
      </c>
      <c r="K42" s="14">
        <v>275</v>
      </c>
      <c r="L42" s="29" t="s">
        <v>18</v>
      </c>
      <c r="M42" s="29" t="s">
        <v>19</v>
      </c>
      <c r="N42" s="29" t="s">
        <v>20</v>
      </c>
      <c r="O42" s="29" t="str">
        <f>IF(AND(C42&gt;='Task 1.2'!$B$2,C42&lt;='Task 1.2'!$C$2),"During","Before")</f>
        <v>Before</v>
      </c>
      <c r="P42" s="26">
        <f ca="1">AVERAGEIF(O42:O340,"Before",Posts[[#This Row],[engagement rate]])</f>
        <v>9.7015434350122636</v>
      </c>
      <c r="Q42" s="26">
        <f t="shared" si="1"/>
        <v>9.2323650214041777</v>
      </c>
      <c r="R42" s="26">
        <f ca="1">Posts[[#This Row],[Avg. During]]-Posts[[#This Row],[Avg. Before]]/Posts[[#This Row],[Avg. Before]]</f>
        <v>8.2323650214041777</v>
      </c>
      <c r="S42" s="26">
        <v>11.53035259905489</v>
      </c>
    </row>
    <row r="43" spans="1:19">
      <c r="A43" s="29" t="s">
        <v>81</v>
      </c>
      <c r="B43" s="29" t="s">
        <v>15</v>
      </c>
      <c r="C43" s="38">
        <v>45683</v>
      </c>
      <c r="D43" s="29" t="s">
        <v>28</v>
      </c>
      <c r="E43" s="29" t="s">
        <v>38</v>
      </c>
      <c r="F43" s="14">
        <v>3451</v>
      </c>
      <c r="G43" s="14">
        <v>363</v>
      </c>
      <c r="H43" s="14">
        <v>393</v>
      </c>
      <c r="I43" s="14">
        <v>44853</v>
      </c>
      <c r="J43" s="14">
        <v>69032</v>
      </c>
      <c r="K43" s="14">
        <v>211</v>
      </c>
      <c r="L43" s="29" t="s">
        <v>19</v>
      </c>
      <c r="M43" s="29" t="s">
        <v>24</v>
      </c>
      <c r="N43" s="29" t="s">
        <v>55</v>
      </c>
      <c r="O43" s="29" t="str">
        <f>IF(AND(C43&gt;='Task 1.2'!$B$2,C43&lt;='Task 1.2'!$C$2),"During","Before")</f>
        <v>Before</v>
      </c>
      <c r="P43" s="26">
        <f ca="1">AVERAGEIF(O43:O341,"Before",Posts[[#This Row],[engagement rate]])</f>
        <v>9.6939863723509312</v>
      </c>
      <c r="Q43" s="26">
        <f t="shared" si="1"/>
        <v>8.486730717464793</v>
      </c>
      <c r="R43" s="26">
        <f ca="1">Posts[[#This Row],[Avg. During]]-Posts[[#This Row],[Avg. Before]]/Posts[[#This Row],[Avg. Before]]</f>
        <v>7.486730717464793</v>
      </c>
      <c r="S43" s="26">
        <v>9.8499542951419077</v>
      </c>
    </row>
    <row r="44" spans="1:19">
      <c r="A44" s="29" t="s">
        <v>82</v>
      </c>
      <c r="B44" s="29" t="s">
        <v>15</v>
      </c>
      <c r="C44" s="38">
        <v>45702</v>
      </c>
      <c r="D44" s="29" t="s">
        <v>16</v>
      </c>
      <c r="E44" s="29" t="s">
        <v>43</v>
      </c>
      <c r="F44" s="14">
        <v>4891</v>
      </c>
      <c r="G44" s="14">
        <v>450</v>
      </c>
      <c r="H44" s="14">
        <v>387</v>
      </c>
      <c r="I44" s="14">
        <v>48746</v>
      </c>
      <c r="J44" s="14">
        <v>37312</v>
      </c>
      <c r="K44" s="14">
        <v>154</v>
      </c>
      <c r="L44" s="29" t="s">
        <v>18</v>
      </c>
      <c r="M44" s="29" t="s">
        <v>19</v>
      </c>
      <c r="N44" s="29" t="s">
        <v>20</v>
      </c>
      <c r="O44" s="29" t="str">
        <f>IF(AND(C44&gt;='Task 1.2'!$B$2,C44&lt;='Task 1.2'!$C$2),"During","Before")</f>
        <v>Before</v>
      </c>
      <c r="P44" s="26">
        <f ca="1">AVERAGEIF(O44:O342,"Before",Posts[[#This Row],[engagement rate]])</f>
        <v>9.6933392025468201</v>
      </c>
      <c r="Q44" s="26">
        <f t="shared" si="1"/>
        <v>7.2610033024808338</v>
      </c>
      <c r="R44" s="26">
        <f ca="1">Posts[[#This Row],[Avg. During]]-Posts[[#This Row],[Avg. Before]]/Posts[[#This Row],[Avg. Before]]</f>
        <v>6.2610033024808338</v>
      </c>
      <c r="S44" s="26">
        <v>12.066631108193492</v>
      </c>
    </row>
    <row r="45" spans="1:19">
      <c r="A45" s="29" t="s">
        <v>83</v>
      </c>
      <c r="B45" s="29" t="s">
        <v>15</v>
      </c>
      <c r="C45" s="38">
        <v>45541</v>
      </c>
      <c r="D45" s="29" t="s">
        <v>16</v>
      </c>
      <c r="E45" s="29" t="s">
        <v>29</v>
      </c>
      <c r="F45" s="14">
        <v>1452</v>
      </c>
      <c r="G45" s="14">
        <v>281</v>
      </c>
      <c r="H45" s="14">
        <v>326</v>
      </c>
      <c r="I45" s="14">
        <v>51556</v>
      </c>
      <c r="J45" s="14">
        <v>62599</v>
      </c>
      <c r="K45" s="14">
        <v>290</v>
      </c>
      <c r="L45" s="29" t="s">
        <v>23</v>
      </c>
      <c r="M45" s="29" t="s">
        <v>24</v>
      </c>
      <c r="N45" s="29" t="s">
        <v>25</v>
      </c>
      <c r="O45" s="29" t="str">
        <f>IF(AND(C45&gt;='Task 1.2'!$B$2,C45&lt;='Task 1.2'!$C$2),"During","Before")</f>
        <v>Before</v>
      </c>
      <c r="P45" s="26">
        <f ca="1">AVERAGEIF(O45:O343,"Before",Posts[[#This Row],[engagement rate]])</f>
        <v>9.6834504862732942</v>
      </c>
      <c r="Q45" s="26">
        <f t="shared" si="1"/>
        <v>10.975098307451477</v>
      </c>
      <c r="R45" s="26">
        <f ca="1">Posts[[#This Row],[Avg. During]]-Posts[[#This Row],[Avg. Before]]/Posts[[#This Row],[Avg. Before]]</f>
        <v>9.9750983074514767</v>
      </c>
      <c r="S45" s="26">
        <v>4.5562107223213593</v>
      </c>
    </row>
    <row r="46" spans="1:19">
      <c r="A46" s="29" t="s">
        <v>84</v>
      </c>
      <c r="B46" s="29" t="s">
        <v>34</v>
      </c>
      <c r="C46" s="38">
        <v>45487</v>
      </c>
      <c r="D46" s="29" t="s">
        <v>16</v>
      </c>
      <c r="E46" s="29" t="s">
        <v>51</v>
      </c>
      <c r="F46" s="14">
        <v>3806</v>
      </c>
      <c r="G46" s="14">
        <v>114</v>
      </c>
      <c r="H46" s="14">
        <v>278</v>
      </c>
      <c r="I46" s="14">
        <v>36148</v>
      </c>
      <c r="J46" s="14">
        <v>24209</v>
      </c>
      <c r="K46" s="14">
        <v>201</v>
      </c>
      <c r="L46" s="29" t="s">
        <v>23</v>
      </c>
      <c r="M46" s="29" t="s">
        <v>36</v>
      </c>
      <c r="N46" s="29" t="s">
        <v>25</v>
      </c>
      <c r="O46" s="29" t="str">
        <f>IF(AND(C46&gt;='Task 1.2'!$B$2,C46&lt;='Task 1.2'!$C$2),"During","Before")</f>
        <v>During</v>
      </c>
      <c r="P46" s="26">
        <f ca="1">AVERAGEIF(O46:O344,"Before",Posts[[#This Row],[engagement rate]])</f>
        <v>9.7049033723149343</v>
      </c>
      <c r="Q46" s="26">
        <f t="shared" si="1"/>
        <v>8.605723146211254</v>
      </c>
      <c r="R46" s="26">
        <f ca="1">Posts[[#This Row],[Avg. During]]-Posts[[#This Row],[Avg. Before]]/Posts[[#This Row],[Avg. Before]]</f>
        <v>7.605723146211254</v>
      </c>
      <c r="S46" s="26">
        <v>12.169414628748479</v>
      </c>
    </row>
    <row r="47" spans="1:19">
      <c r="A47" s="29" t="s">
        <v>85</v>
      </c>
      <c r="B47" s="29" t="s">
        <v>15</v>
      </c>
      <c r="C47" s="38">
        <v>45334</v>
      </c>
      <c r="D47" s="29" t="s">
        <v>16</v>
      </c>
      <c r="E47" s="29" t="s">
        <v>22</v>
      </c>
      <c r="F47" s="14">
        <v>2923</v>
      </c>
      <c r="G47" s="14">
        <v>330</v>
      </c>
      <c r="H47" s="14">
        <v>250</v>
      </c>
      <c r="I47" s="14">
        <v>23993</v>
      </c>
      <c r="J47" s="14">
        <v>74590</v>
      </c>
      <c r="K47" s="14">
        <v>92</v>
      </c>
      <c r="L47" s="29" t="s">
        <v>23</v>
      </c>
      <c r="M47" s="29" t="s">
        <v>24</v>
      </c>
      <c r="N47" s="29" t="s">
        <v>25</v>
      </c>
      <c r="O47" s="29" t="str">
        <f>IF(AND(C47&gt;='Task 1.2'!$B$2,C47&lt;='Task 1.2'!$C$2),"During","Before")</f>
        <v>Before</v>
      </c>
      <c r="P47" s="26">
        <f ca="1">AVERAGEIF(O47:O345,"Before",Posts[[#This Row],[engagement rate]])</f>
        <v>9.7049033723149343</v>
      </c>
      <c r="Q47" s="26">
        <f t="shared" si="1"/>
        <v>9.9968024322615516</v>
      </c>
      <c r="R47" s="26">
        <f ca="1">Posts[[#This Row],[Avg. During]]-Posts[[#This Row],[Avg. Before]]/Posts[[#This Row],[Avg. Before]]</f>
        <v>8.9968024322615516</v>
      </c>
      <c r="S47" s="26">
        <v>14.983536864918934</v>
      </c>
    </row>
    <row r="48" spans="1:19">
      <c r="A48" s="29" t="s">
        <v>86</v>
      </c>
      <c r="B48" s="29" t="s">
        <v>34</v>
      </c>
      <c r="C48" s="38">
        <v>45365</v>
      </c>
      <c r="D48" s="29" t="s">
        <v>57</v>
      </c>
      <c r="E48" s="29" t="s">
        <v>49</v>
      </c>
      <c r="F48" s="14">
        <v>3361</v>
      </c>
      <c r="G48" s="14">
        <v>188</v>
      </c>
      <c r="H48" s="14">
        <v>358</v>
      </c>
      <c r="I48" s="14">
        <v>39838</v>
      </c>
      <c r="J48" s="14">
        <v>24536</v>
      </c>
      <c r="K48" s="14">
        <v>120</v>
      </c>
      <c r="L48" s="29" t="s">
        <v>23</v>
      </c>
      <c r="M48" s="29" t="s">
        <v>18</v>
      </c>
      <c r="N48" s="29" t="s">
        <v>58</v>
      </c>
      <c r="O48" s="29" t="str">
        <f>IF(AND(C48&gt;='Task 1.2'!$B$2,C48&lt;='Task 1.2'!$C$2),"During","Before")</f>
        <v>Before</v>
      </c>
      <c r="P48" s="26">
        <f ca="1">AVERAGEIF(O48:O346,"Before",Posts[[#This Row],[engagement rate]])</f>
        <v>9.6827242399930675</v>
      </c>
      <c r="Q48" s="26">
        <f t="shared" si="1"/>
        <v>8.6447664320313411</v>
      </c>
      <c r="R48" s="26">
        <f ca="1">Posts[[#This Row],[Avg. During]]-Posts[[#This Row],[Avg. Before]]/Posts[[#This Row],[Avg. Before]]</f>
        <v>7.6447664320313411</v>
      </c>
      <c r="S48" s="26">
        <v>10.108439178673628</v>
      </c>
    </row>
    <row r="49" spans="1:19">
      <c r="A49" s="29" t="s">
        <v>87</v>
      </c>
      <c r="B49" s="29" t="s">
        <v>15</v>
      </c>
      <c r="C49" s="38">
        <v>45693</v>
      </c>
      <c r="D49" s="29" t="s">
        <v>28</v>
      </c>
      <c r="E49" s="29" t="s">
        <v>35</v>
      </c>
      <c r="F49" s="14">
        <v>3074</v>
      </c>
      <c r="G49" s="14">
        <v>371</v>
      </c>
      <c r="H49" s="14">
        <v>348</v>
      </c>
      <c r="I49" s="14">
        <v>24104</v>
      </c>
      <c r="J49" s="14">
        <v>57803</v>
      </c>
      <c r="K49" s="14">
        <v>213</v>
      </c>
      <c r="L49" s="29" t="s">
        <v>19</v>
      </c>
      <c r="M49" s="29" t="s">
        <v>24</v>
      </c>
      <c r="N49" s="29" t="s">
        <v>55</v>
      </c>
      <c r="O49" s="29" t="str">
        <f>IF(AND(C49&gt;='Task 1.2'!$B$2,C49&lt;='Task 1.2'!$C$2),"During","Before")</f>
        <v>Before</v>
      </c>
      <c r="P49" s="26">
        <f ca="1">AVERAGEIF(O49:O347,"Before",Posts[[#This Row],[engagement rate]])</f>
        <v>9.6809279744290144</v>
      </c>
      <c r="Q49" s="26">
        <f t="shared" si="1"/>
        <v>10.063321248219852</v>
      </c>
      <c r="R49" s="26">
        <f ca="1">Posts[[#This Row],[Avg. During]]-Posts[[#This Row],[Avg. Before]]/Posts[[#This Row],[Avg. Before]]</f>
        <v>9.063321248219852</v>
      </c>
      <c r="S49" s="26">
        <v>16.619648191171592</v>
      </c>
    </row>
    <row r="50" spans="1:19">
      <c r="A50" s="29" t="s">
        <v>88</v>
      </c>
      <c r="B50" s="29" t="s">
        <v>27</v>
      </c>
      <c r="C50" s="38">
        <v>45533</v>
      </c>
      <c r="D50" s="29" t="s">
        <v>28</v>
      </c>
      <c r="E50" s="29" t="s">
        <v>40</v>
      </c>
      <c r="F50" s="14">
        <v>4276</v>
      </c>
      <c r="G50" s="14">
        <v>227</v>
      </c>
      <c r="H50" s="14">
        <v>223</v>
      </c>
      <c r="I50" s="14">
        <v>43443</v>
      </c>
      <c r="J50" s="14">
        <v>41005</v>
      </c>
      <c r="K50" s="14">
        <v>191</v>
      </c>
      <c r="L50" s="29" t="s">
        <v>23</v>
      </c>
      <c r="M50" s="29" t="s">
        <v>30</v>
      </c>
      <c r="N50" s="29" t="s">
        <v>20</v>
      </c>
      <c r="O50" s="29" t="str">
        <f>IF(AND(C50&gt;='Task 1.2'!$B$2,C50&lt;='Task 1.2'!$C$2),"During","Before")</f>
        <v>Before</v>
      </c>
      <c r="P50" s="26">
        <f ca="1">AVERAGEIF(O50:O348,"Before",Posts[[#This Row],[engagement rate]])</f>
        <v>9.6515266175784102</v>
      </c>
      <c r="Q50" s="26">
        <f t="shared" si="1"/>
        <v>12.324732105975821</v>
      </c>
      <c r="R50" s="26">
        <f ca="1">Posts[[#This Row],[Avg. During]]-Posts[[#This Row],[Avg. Before]]/Posts[[#This Row],[Avg. Before]]</f>
        <v>11.324732105975821</v>
      </c>
      <c r="S50" s="26">
        <v>11.318279124369864</v>
      </c>
    </row>
    <row r="51" spans="1:19">
      <c r="A51" s="29" t="s">
        <v>89</v>
      </c>
      <c r="B51" s="29" t="s">
        <v>27</v>
      </c>
      <c r="C51" s="38">
        <v>45769</v>
      </c>
      <c r="D51" s="29" t="s">
        <v>16</v>
      </c>
      <c r="E51" s="29" t="s">
        <v>17</v>
      </c>
      <c r="F51" s="14">
        <v>4401</v>
      </c>
      <c r="G51" s="14">
        <v>421</v>
      </c>
      <c r="H51" s="14">
        <v>216</v>
      </c>
      <c r="I51" s="14">
        <v>24890</v>
      </c>
      <c r="J51" s="14">
        <v>54361</v>
      </c>
      <c r="K51" s="14">
        <v>148</v>
      </c>
      <c r="L51" s="29" t="s">
        <v>19</v>
      </c>
      <c r="M51" s="29" t="s">
        <v>24</v>
      </c>
      <c r="N51" s="29" t="s">
        <v>20</v>
      </c>
      <c r="O51" s="29" t="str">
        <f>IF(AND(C51&gt;='Task 1.2'!$B$2,C51&lt;='Task 1.2'!$C$2),"During","Before")</f>
        <v>Before</v>
      </c>
      <c r="P51" s="26">
        <f ca="1">AVERAGEIF(O51:O349,"Before",Posts[[#This Row],[engagement rate]])</f>
        <v>9.6444340537197242</v>
      </c>
      <c r="Q51" s="26">
        <f t="shared" si="1"/>
        <v>10.288902817101054</v>
      </c>
      <c r="R51" s="26">
        <f ca="1">Posts[[#This Row],[Avg. During]]-Posts[[#This Row],[Avg. Before]]/Posts[[#This Row],[Avg. Before]]</f>
        <v>9.2889028171010537</v>
      </c>
      <c r="S51" s="26">
        <v>20.835676978706307</v>
      </c>
    </row>
    <row r="52" spans="1:19">
      <c r="A52" s="29" t="s">
        <v>90</v>
      </c>
      <c r="B52" s="29" t="s">
        <v>34</v>
      </c>
      <c r="C52" s="38">
        <v>45425</v>
      </c>
      <c r="D52" s="29" t="s">
        <v>57</v>
      </c>
      <c r="E52" s="29" t="s">
        <v>22</v>
      </c>
      <c r="F52" s="14">
        <v>4161</v>
      </c>
      <c r="G52" s="14">
        <v>481</v>
      </c>
      <c r="H52" s="14">
        <v>61</v>
      </c>
      <c r="I52" s="14">
        <v>45884</v>
      </c>
      <c r="J52" s="14">
        <v>48955</v>
      </c>
      <c r="K52" s="14">
        <v>215</v>
      </c>
      <c r="L52" s="29" t="s">
        <v>23</v>
      </c>
      <c r="M52" s="29" t="s">
        <v>18</v>
      </c>
      <c r="N52" s="29" t="s">
        <v>58</v>
      </c>
      <c r="O52" s="29" t="str">
        <f>IF(AND(C52&gt;='Task 1.2'!$B$2,C52&lt;='Task 1.2'!$C$2),"During","Before")</f>
        <v>Before</v>
      </c>
      <c r="P52" s="26">
        <f ca="1">AVERAGEIF(O52:O350,"Before",Posts[[#This Row],[engagement rate]])</f>
        <v>9.5966082292539703</v>
      </c>
      <c r="Q52" s="26">
        <f t="shared" si="1"/>
        <v>9.4481060042849556</v>
      </c>
      <c r="R52" s="26">
        <f ca="1">Posts[[#This Row],[Avg. During]]-Posts[[#This Row],[Avg. Before]]/Posts[[#This Row],[Avg. Before]]</f>
        <v>8.4481060042849556</v>
      </c>
      <c r="S52" s="26">
        <v>10.718333188039404</v>
      </c>
    </row>
    <row r="53" spans="1:19">
      <c r="A53" s="29" t="s">
        <v>91</v>
      </c>
      <c r="B53" s="29" t="s">
        <v>27</v>
      </c>
      <c r="C53" s="38">
        <v>45539</v>
      </c>
      <c r="D53" s="29" t="s">
        <v>28</v>
      </c>
      <c r="E53" s="29" t="s">
        <v>29</v>
      </c>
      <c r="F53" s="14">
        <v>2613</v>
      </c>
      <c r="G53" s="14">
        <v>455</v>
      </c>
      <c r="H53" s="14">
        <v>228</v>
      </c>
      <c r="I53" s="14">
        <v>21645</v>
      </c>
      <c r="J53" s="14">
        <v>61334</v>
      </c>
      <c r="K53" s="14">
        <v>261</v>
      </c>
      <c r="L53" s="29" t="s">
        <v>23</v>
      </c>
      <c r="M53" s="29" t="s">
        <v>30</v>
      </c>
      <c r="N53" s="29" t="s">
        <v>20</v>
      </c>
      <c r="O53" s="29" t="str">
        <f>IF(AND(C53&gt;='Task 1.2'!$B$2,C53&lt;='Task 1.2'!$C$2),"During","Before")</f>
        <v>Before</v>
      </c>
      <c r="P53" s="26">
        <f ca="1">AVERAGEIF(O53:O351,"Before",Posts[[#This Row],[engagement rate]])</f>
        <v>9.5917939590445904</v>
      </c>
      <c r="Q53" s="26">
        <f t="shared" si="1"/>
        <v>10.596198065722673</v>
      </c>
      <c r="R53" s="26">
        <f ca="1">Posts[[#This Row],[Avg. During]]-Posts[[#This Row],[Avg. Before]]/Posts[[#This Row],[Avg. Before]]</f>
        <v>9.5961980657226729</v>
      </c>
      <c r="S53" s="26">
        <v>16.433356433356433</v>
      </c>
    </row>
    <row r="54" spans="1:19">
      <c r="A54" s="29" t="s">
        <v>92</v>
      </c>
      <c r="B54" s="29" t="s">
        <v>27</v>
      </c>
      <c r="C54" s="38">
        <v>45516</v>
      </c>
      <c r="D54" s="29" t="s">
        <v>28</v>
      </c>
      <c r="E54" s="29" t="s">
        <v>38</v>
      </c>
      <c r="F54" s="14">
        <v>2842</v>
      </c>
      <c r="G54" s="14">
        <v>213</v>
      </c>
      <c r="H54" s="14">
        <v>331</v>
      </c>
      <c r="I54" s="14">
        <v>57660</v>
      </c>
      <c r="J54" s="14">
        <v>68606</v>
      </c>
      <c r="K54" s="14">
        <v>87</v>
      </c>
      <c r="L54" s="29" t="s">
        <v>30</v>
      </c>
      <c r="M54" s="29" t="s">
        <v>19</v>
      </c>
      <c r="N54" s="29" t="s">
        <v>20</v>
      </c>
      <c r="O54" s="29" t="str">
        <f>IF(AND(C54&gt;='Task 1.2'!$B$2,C54&lt;='Task 1.2'!$C$2),"During","Before")</f>
        <v>Before</v>
      </c>
      <c r="P54" s="26">
        <f ca="1">AVERAGEIF(O54:O352,"Before",Posts[[#This Row],[engagement rate]])</f>
        <v>9.5623044656208318</v>
      </c>
      <c r="Q54" s="26">
        <f t="shared" si="1"/>
        <v>9.1110510827187738</v>
      </c>
      <c r="R54" s="26">
        <f ca="1">Posts[[#This Row],[Avg. During]]-Posts[[#This Row],[Avg. Before]]/Posts[[#This Row],[Avg. Before]]</f>
        <v>8.1110510827187738</v>
      </c>
      <c r="S54" s="26">
        <v>6.023239680887964</v>
      </c>
    </row>
    <row r="55" spans="1:19">
      <c r="A55" s="29" t="s">
        <v>93</v>
      </c>
      <c r="B55" s="29" t="s">
        <v>15</v>
      </c>
      <c r="C55" s="38">
        <v>45722</v>
      </c>
      <c r="D55" s="29" t="s">
        <v>16</v>
      </c>
      <c r="E55" s="29" t="s">
        <v>40</v>
      </c>
      <c r="F55" s="14">
        <v>4851</v>
      </c>
      <c r="G55" s="14">
        <v>460</v>
      </c>
      <c r="H55" s="14">
        <v>212</v>
      </c>
      <c r="I55" s="14">
        <v>58075</v>
      </c>
      <c r="J55" s="14">
        <v>59574</v>
      </c>
      <c r="K55" s="14">
        <v>239</v>
      </c>
      <c r="L55" s="29" t="s">
        <v>23</v>
      </c>
      <c r="M55" s="29" t="s">
        <v>24</v>
      </c>
      <c r="N55" s="29" t="s">
        <v>25</v>
      </c>
      <c r="O55" s="29" t="str">
        <f>IF(AND(C55&gt;='Task 1.2'!$B$2,C55&lt;='Task 1.2'!$C$2),"During","Before")</f>
        <v>Before</v>
      </c>
      <c r="P55" s="26">
        <f ca="1">AVERAGEIF(O55:O353,"Before",Posts[[#This Row],[engagement rate]])</f>
        <v>9.5776250923945661</v>
      </c>
      <c r="Q55" s="26">
        <f t="shared" si="1"/>
        <v>9.2993995859922407</v>
      </c>
      <c r="R55" s="26">
        <f ca="1">Posts[[#This Row],[Avg. During]]-Posts[[#This Row],[Avg. Before]]/Posts[[#This Row],[Avg. Before]]</f>
        <v>8.2993995859922407</v>
      </c>
      <c r="S55" s="26">
        <v>9.9216530348687044</v>
      </c>
    </row>
    <row r="56" spans="1:19">
      <c r="A56" s="29" t="s">
        <v>94</v>
      </c>
      <c r="B56" s="29" t="s">
        <v>27</v>
      </c>
      <c r="C56" s="38">
        <v>45420</v>
      </c>
      <c r="D56" s="29" t="s">
        <v>16</v>
      </c>
      <c r="E56" s="29" t="s">
        <v>22</v>
      </c>
      <c r="F56" s="14">
        <v>1828</v>
      </c>
      <c r="G56" s="14">
        <v>450</v>
      </c>
      <c r="H56" s="14">
        <v>214</v>
      </c>
      <c r="I56" s="14">
        <v>52115</v>
      </c>
      <c r="J56" s="14">
        <v>19166</v>
      </c>
      <c r="K56" s="14">
        <v>190</v>
      </c>
      <c r="L56" s="29" t="s">
        <v>19</v>
      </c>
      <c r="M56" s="29" t="s">
        <v>24</v>
      </c>
      <c r="N56" s="29" t="s">
        <v>20</v>
      </c>
      <c r="O56" s="29" t="str">
        <f>IF(AND(C56&gt;='Task 1.2'!$B$2,C56&lt;='Task 1.2'!$C$2),"During","Before")</f>
        <v>Before</v>
      </c>
      <c r="P56" s="26">
        <f ca="1">AVERAGEIF(O56:O354,"Before",Posts[[#This Row],[engagement rate]])</f>
        <v>9.5761293187316365</v>
      </c>
      <c r="Q56" s="26">
        <f t="shared" si="1"/>
        <v>5.7783139429012076</v>
      </c>
      <c r="R56" s="26">
        <f ca="1">Posts[[#This Row],[Avg. During]]-Posts[[#This Row],[Avg. Before]]/Posts[[#This Row],[Avg. Before]]</f>
        <v>4.7783139429012076</v>
      </c>
      <c r="S56" s="26">
        <v>5.1463110428859249</v>
      </c>
    </row>
    <row r="57" spans="1:19">
      <c r="A57" s="29" t="s">
        <v>95</v>
      </c>
      <c r="B57" s="29" t="s">
        <v>15</v>
      </c>
      <c r="C57" s="38">
        <v>45707</v>
      </c>
      <c r="D57" s="29" t="s">
        <v>28</v>
      </c>
      <c r="E57" s="29" t="s">
        <v>49</v>
      </c>
      <c r="F57" s="14">
        <v>2422</v>
      </c>
      <c r="G57" s="14">
        <v>455</v>
      </c>
      <c r="H57" s="14">
        <v>376</v>
      </c>
      <c r="I57" s="14">
        <v>23428</v>
      </c>
      <c r="J57" s="14">
        <v>46775</v>
      </c>
      <c r="K57" s="14">
        <v>259</v>
      </c>
      <c r="L57" s="29" t="s">
        <v>19</v>
      </c>
      <c r="M57" s="29" t="s">
        <v>24</v>
      </c>
      <c r="N57" s="29" t="s">
        <v>55</v>
      </c>
      <c r="O57" s="29" t="str">
        <f>IF(AND(C57&gt;='Task 1.2'!$B$2,C57&lt;='Task 1.2'!$C$2),"During","Before")</f>
        <v>Before</v>
      </c>
      <c r="P57" s="26">
        <f ca="1">AVERAGEIF(O57:O355,"Before",Posts[[#This Row],[engagement rate]])</f>
        <v>9.5954735033423155</v>
      </c>
      <c r="Q57" s="26">
        <f t="shared" si="1"/>
        <v>8.2844099664501289</v>
      </c>
      <c r="R57" s="26">
        <f ca="1">Posts[[#This Row],[Avg. During]]-Posts[[#This Row],[Avg. Before]]/Posts[[#This Row],[Avg. Before]]</f>
        <v>7.2844099664501289</v>
      </c>
      <c r="S57" s="26">
        <v>14.990609527061634</v>
      </c>
    </row>
    <row r="58" spans="1:19">
      <c r="A58" s="29" t="s">
        <v>96</v>
      </c>
      <c r="B58" s="29" t="s">
        <v>15</v>
      </c>
      <c r="C58" s="38">
        <v>45299</v>
      </c>
      <c r="D58" s="29" t="s">
        <v>16</v>
      </c>
      <c r="E58" s="29" t="s">
        <v>43</v>
      </c>
      <c r="F58" s="14">
        <v>2683</v>
      </c>
      <c r="G58" s="14">
        <v>405</v>
      </c>
      <c r="H58" s="14">
        <v>223</v>
      </c>
      <c r="I58" s="14">
        <v>31233</v>
      </c>
      <c r="J58" s="14">
        <v>58106</v>
      </c>
      <c r="K58" s="14">
        <v>291</v>
      </c>
      <c r="L58" s="29" t="s">
        <v>23</v>
      </c>
      <c r="M58" s="29" t="s">
        <v>24</v>
      </c>
      <c r="N58" s="29" t="s">
        <v>25</v>
      </c>
      <c r="O58" s="29" t="str">
        <f>IF(AND(C58&gt;='Task 1.2'!$B$2,C58&lt;='Task 1.2'!$C$2),"During","Before")</f>
        <v>Before</v>
      </c>
      <c r="P58" s="26">
        <f ca="1">AVERAGEIF(O58:O356,"Before",Posts[[#This Row],[engagement rate]])</f>
        <v>9.5718106260453002</v>
      </c>
      <c r="Q58" s="26">
        <f t="shared" si="1"/>
        <v>10.542822569671314</v>
      </c>
      <c r="R58" s="26">
        <f ca="1">Posts[[#This Row],[Avg. During]]-Posts[[#This Row],[Avg. Before]]/Posts[[#This Row],[Avg. Before]]</f>
        <v>9.5428225696713138</v>
      </c>
      <c r="S58" s="26">
        <v>11.532673774533347</v>
      </c>
    </row>
    <row r="59" spans="1:19">
      <c r="A59" s="29" t="s">
        <v>97</v>
      </c>
      <c r="B59" s="29" t="s">
        <v>34</v>
      </c>
      <c r="C59" s="38">
        <v>45490</v>
      </c>
      <c r="D59" s="29" t="s">
        <v>16</v>
      </c>
      <c r="E59" s="29" t="s">
        <v>43</v>
      </c>
      <c r="F59" s="14">
        <v>3135</v>
      </c>
      <c r="G59" s="14">
        <v>110</v>
      </c>
      <c r="H59" s="14">
        <v>215</v>
      </c>
      <c r="I59" s="14">
        <v>39192</v>
      </c>
      <c r="J59" s="14">
        <v>24744</v>
      </c>
      <c r="K59" s="14">
        <v>177</v>
      </c>
      <c r="L59" s="29" t="s">
        <v>23</v>
      </c>
      <c r="M59" s="29" t="s">
        <v>36</v>
      </c>
      <c r="N59" s="29" t="s">
        <v>25</v>
      </c>
      <c r="O59" s="29" t="str">
        <f>IF(AND(C59&gt;='Task 1.2'!$B$2,C59&lt;='Task 1.2'!$C$2),"During","Before")</f>
        <v>Before</v>
      </c>
      <c r="P59" s="26">
        <f ca="1">AVERAGEIF(O59:O357,"Before",Posts[[#This Row],[engagement rate]])</f>
        <v>9.5631724623955741</v>
      </c>
      <c r="Q59" s="26">
        <f t="shared" si="1"/>
        <v>8.9695682467204882</v>
      </c>
      <c r="R59" s="26">
        <f ca="1">Posts[[#This Row],[Avg. During]]-Posts[[#This Row],[Avg. Before]]/Posts[[#This Row],[Avg. Before]]</f>
        <v>7.9695682467204882</v>
      </c>
      <c r="S59" s="26">
        <v>9.2799550928760972</v>
      </c>
    </row>
    <row r="60" spans="1:19">
      <c r="A60" s="29" t="s">
        <v>98</v>
      </c>
      <c r="B60" s="29" t="s">
        <v>34</v>
      </c>
      <c r="C60" s="38">
        <v>45514</v>
      </c>
      <c r="D60" s="29" t="s">
        <v>16</v>
      </c>
      <c r="E60" s="29" t="s">
        <v>49</v>
      </c>
      <c r="F60" s="14">
        <v>1105</v>
      </c>
      <c r="G60" s="14">
        <v>181</v>
      </c>
      <c r="H60" s="14">
        <v>55</v>
      </c>
      <c r="I60" s="14">
        <v>53581</v>
      </c>
      <c r="J60" s="14">
        <v>74048</v>
      </c>
      <c r="K60" s="14">
        <v>220</v>
      </c>
      <c r="L60" s="29" t="s">
        <v>23</v>
      </c>
      <c r="M60" s="29" t="s">
        <v>36</v>
      </c>
      <c r="N60" s="29" t="s">
        <v>25</v>
      </c>
      <c r="O60" s="29" t="str">
        <f>IF(AND(C60&gt;='Task 1.2'!$B$2,C60&lt;='Task 1.2'!$C$2),"During","Before")</f>
        <v>Before</v>
      </c>
      <c r="P60" s="26">
        <f ca="1">AVERAGEIF(O60:O358,"Before",Posts[[#This Row],[engagement rate]])</f>
        <v>9.564425636596992</v>
      </c>
      <c r="Q60" s="26">
        <f t="shared" si="1"/>
        <v>10.540904808747925</v>
      </c>
      <c r="R60" s="26">
        <f ca="1">Posts[[#This Row],[Avg. During]]-Posts[[#This Row],[Avg. Before]]/Posts[[#This Row],[Avg. Before]]</f>
        <v>9.5409048087479249</v>
      </c>
      <c r="S60" s="26">
        <v>2.913346148821411</v>
      </c>
    </row>
    <row r="61" spans="1:19">
      <c r="A61" s="29" t="s">
        <v>99</v>
      </c>
      <c r="B61" s="29" t="s">
        <v>34</v>
      </c>
      <c r="C61" s="38">
        <v>45398</v>
      </c>
      <c r="D61" s="29" t="s">
        <v>16</v>
      </c>
      <c r="E61" s="29" t="s">
        <v>17</v>
      </c>
      <c r="F61" s="14">
        <v>4674</v>
      </c>
      <c r="G61" s="14">
        <v>326</v>
      </c>
      <c r="H61" s="14">
        <v>62</v>
      </c>
      <c r="I61" s="14">
        <v>45503</v>
      </c>
      <c r="J61" s="14">
        <v>46814</v>
      </c>
      <c r="K61" s="14">
        <v>116</v>
      </c>
      <c r="L61" s="29" t="s">
        <v>23</v>
      </c>
      <c r="M61" s="29" t="s">
        <v>36</v>
      </c>
      <c r="N61" s="29" t="s">
        <v>25</v>
      </c>
      <c r="O61" s="29" t="str">
        <f>IF(AND(C61&gt;='Task 1.2'!$B$2,C61&lt;='Task 1.2'!$C$2),"During","Before")</f>
        <v>Before</v>
      </c>
      <c r="P61" s="26">
        <f ca="1">AVERAGEIF(O61:O359,"Before",Posts[[#This Row],[engagement rate]])</f>
        <v>9.5939859898759945</v>
      </c>
      <c r="Q61" s="26">
        <f t="shared" si="1"/>
        <v>9.074930486655111</v>
      </c>
      <c r="R61" s="26">
        <f ca="1">Posts[[#This Row],[Avg. During]]-Posts[[#This Row],[Avg. Before]]/Posts[[#This Row],[Avg. Before]]</f>
        <v>8.074930486655111</v>
      </c>
      <c r="S61" s="26">
        <v>11.379469485528427</v>
      </c>
    </row>
    <row r="62" spans="1:19">
      <c r="A62" s="29" t="s">
        <v>100</v>
      </c>
      <c r="B62" s="29" t="s">
        <v>34</v>
      </c>
      <c r="C62" s="38">
        <v>45292</v>
      </c>
      <c r="D62" s="29" t="s">
        <v>57</v>
      </c>
      <c r="E62" s="29" t="s">
        <v>22</v>
      </c>
      <c r="F62" s="14">
        <v>3437</v>
      </c>
      <c r="G62" s="14">
        <v>129</v>
      </c>
      <c r="H62" s="14">
        <v>359</v>
      </c>
      <c r="I62" s="14">
        <v>44558</v>
      </c>
      <c r="J62" s="14">
        <v>30854</v>
      </c>
      <c r="K62" s="14">
        <v>171</v>
      </c>
      <c r="L62" s="29" t="s">
        <v>23</v>
      </c>
      <c r="M62" s="29" t="s">
        <v>18</v>
      </c>
      <c r="N62" s="29" t="s">
        <v>58</v>
      </c>
      <c r="O62" s="29" t="str">
        <f>IF(AND(C62&gt;='Task 1.2'!$B$2,C62&lt;='Task 1.2'!$C$2),"During","Before")</f>
        <v>Before</v>
      </c>
      <c r="P62" s="26">
        <f ca="1">AVERAGEIF(O62:O360,"Before",Posts[[#This Row],[engagement rate]])</f>
        <v>9.5860150814132599</v>
      </c>
      <c r="Q62" s="26">
        <f t="shared" si="1"/>
        <v>10.948858552669124</v>
      </c>
      <c r="R62" s="26">
        <f ca="1">Posts[[#This Row],[Avg. During]]-Posts[[#This Row],[Avg. Before]]/Posts[[#This Row],[Avg. Before]]</f>
        <v>9.9488585526691242</v>
      </c>
      <c r="S62" s="26">
        <v>9.19251312895552</v>
      </c>
    </row>
    <row r="63" spans="1:19">
      <c r="A63" s="29" t="s">
        <v>101</v>
      </c>
      <c r="B63" s="29" t="s">
        <v>27</v>
      </c>
      <c r="C63" s="38">
        <v>45599</v>
      </c>
      <c r="D63" s="29" t="s">
        <v>28</v>
      </c>
      <c r="E63" s="29" t="s">
        <v>32</v>
      </c>
      <c r="F63" s="14">
        <v>1959</v>
      </c>
      <c r="G63" s="14">
        <v>316</v>
      </c>
      <c r="H63" s="14">
        <v>82</v>
      </c>
      <c r="I63" s="14">
        <v>54036</v>
      </c>
      <c r="J63" s="14">
        <v>69015</v>
      </c>
      <c r="K63" s="14">
        <v>182</v>
      </c>
      <c r="L63" s="29" t="s">
        <v>30</v>
      </c>
      <c r="M63" s="29" t="s">
        <v>19</v>
      </c>
      <c r="N63" s="29" t="s">
        <v>20</v>
      </c>
      <c r="O63" s="29" t="str">
        <f>IF(AND(C63&gt;='Task 1.2'!$B$2,C63&lt;='Task 1.2'!$C$2),"During","Before")</f>
        <v>Before</v>
      </c>
      <c r="P63" s="26">
        <f ca="1">AVERAGEIF(O63:O361,"Before",Posts[[#This Row],[engagement rate]])</f>
        <v>9.5877796641597062</v>
      </c>
      <c r="Q63" s="26">
        <f t="shared" si="1"/>
        <v>11.332087903819273</v>
      </c>
      <c r="R63" s="26">
        <f ca="1">Posts[[#This Row],[Avg. During]]-Posts[[#This Row],[Avg. Before]]/Posts[[#This Row],[Avg. Before]]</f>
        <v>10.332087903819273</v>
      </c>
      <c r="S63" s="26">
        <v>4.6987193722703378</v>
      </c>
    </row>
    <row r="64" spans="1:19">
      <c r="A64" s="29" t="s">
        <v>102</v>
      </c>
      <c r="B64" s="29" t="s">
        <v>27</v>
      </c>
      <c r="C64" s="38">
        <v>45480</v>
      </c>
      <c r="D64" s="29" t="s">
        <v>16</v>
      </c>
      <c r="E64" s="29" t="s">
        <v>29</v>
      </c>
      <c r="F64" s="14">
        <v>1035</v>
      </c>
      <c r="G64" s="14">
        <v>137</v>
      </c>
      <c r="H64" s="14">
        <v>184</v>
      </c>
      <c r="I64" s="14">
        <v>37302</v>
      </c>
      <c r="J64" s="14">
        <v>68953</v>
      </c>
      <c r="K64" s="14">
        <v>237</v>
      </c>
      <c r="L64" s="29" t="s">
        <v>18</v>
      </c>
      <c r="M64" s="29" t="s">
        <v>24</v>
      </c>
      <c r="N64" s="29" t="s">
        <v>25</v>
      </c>
      <c r="O64" s="29" t="str">
        <f>IF(AND(C64&gt;='Task 1.2'!$B$2,C64&lt;='Task 1.2'!$C$2),"During","Before")</f>
        <v>During</v>
      </c>
      <c r="P64" s="26">
        <f ca="1">AVERAGEIF(O64:O362,"Before",Posts[[#This Row],[engagement rate]])</f>
        <v>9.6098024582673176</v>
      </c>
      <c r="Q64" s="26">
        <f t="shared" si="1"/>
        <v>9.8751529235797619</v>
      </c>
      <c r="R64" s="26">
        <f ca="1">Posts[[#This Row],[Avg. During]]-Posts[[#This Row],[Avg. Before]]/Posts[[#This Row],[Avg. Before]]</f>
        <v>8.8751529235797619</v>
      </c>
      <c r="S64" s="26">
        <v>4.2705484960591926</v>
      </c>
    </row>
    <row r="65" spans="1:19">
      <c r="A65" s="29" t="s">
        <v>103</v>
      </c>
      <c r="B65" s="29" t="s">
        <v>27</v>
      </c>
      <c r="C65" s="38">
        <v>45679</v>
      </c>
      <c r="D65" s="29" t="s">
        <v>28</v>
      </c>
      <c r="E65" s="29" t="s">
        <v>29</v>
      </c>
      <c r="F65" s="14">
        <v>4478</v>
      </c>
      <c r="G65" s="14">
        <v>101</v>
      </c>
      <c r="H65" s="14">
        <v>121</v>
      </c>
      <c r="I65" s="14">
        <v>51035</v>
      </c>
      <c r="J65" s="14">
        <v>58207</v>
      </c>
      <c r="K65" s="14">
        <v>205</v>
      </c>
      <c r="L65" s="29" t="s">
        <v>30</v>
      </c>
      <c r="M65" s="29" t="s">
        <v>19</v>
      </c>
      <c r="N65" s="29" t="s">
        <v>20</v>
      </c>
      <c r="O65" s="29" t="str">
        <f>IF(AND(C65&gt;='Task 1.2'!$B$2,C65&lt;='Task 1.2'!$C$2),"During","Before")</f>
        <v>Before</v>
      </c>
      <c r="P65" s="26">
        <f ca="1">AVERAGEIF(O65:O363,"Before",Posts[[#This Row],[engagement rate]])</f>
        <v>9.6098024582673176</v>
      </c>
      <c r="Q65" s="26">
        <f t="shared" si="1"/>
        <v>11.367115518965306</v>
      </c>
      <c r="R65" s="26">
        <f ca="1">Posts[[#This Row],[Avg. During]]-Posts[[#This Row],[Avg. Before]]/Posts[[#This Row],[Avg. Before]]</f>
        <v>10.367115518965306</v>
      </c>
      <c r="S65" s="26">
        <v>9.6110512393455476</v>
      </c>
    </row>
    <row r="66" spans="1:19">
      <c r="A66" s="29" t="s">
        <v>104</v>
      </c>
      <c r="B66" s="29" t="s">
        <v>34</v>
      </c>
      <c r="C66" s="38">
        <v>45438</v>
      </c>
      <c r="D66" s="29" t="s">
        <v>16</v>
      </c>
      <c r="E66" s="29" t="s">
        <v>49</v>
      </c>
      <c r="F66" s="14">
        <v>1488</v>
      </c>
      <c r="G66" s="14">
        <v>327</v>
      </c>
      <c r="H66" s="14">
        <v>110</v>
      </c>
      <c r="I66" s="14">
        <v>53805</v>
      </c>
      <c r="J66" s="14">
        <v>30239</v>
      </c>
      <c r="K66" s="14">
        <v>109</v>
      </c>
      <c r="L66" s="29" t="s">
        <v>23</v>
      </c>
      <c r="M66" s="29" t="s">
        <v>36</v>
      </c>
      <c r="N66" s="29" t="s">
        <v>25</v>
      </c>
      <c r="O66" s="29" t="str">
        <f>IF(AND(C66&gt;='Task 1.2'!$B$2,C66&lt;='Task 1.2'!$C$2),"During","Before")</f>
        <v>Before</v>
      </c>
      <c r="P66" s="26">
        <f ca="1">AVERAGEIF(O66:O364,"Before",Posts[[#This Row],[engagement rate]])</f>
        <v>9.6097968076742024</v>
      </c>
      <c r="Q66" s="26">
        <f t="shared" si="1"/>
        <v>11.818731102727403</v>
      </c>
      <c r="R66" s="26">
        <f ca="1">Posts[[#This Row],[Avg. During]]-Posts[[#This Row],[Avg. Before]]/Posts[[#This Row],[Avg. Before]]</f>
        <v>10.818731102727403</v>
      </c>
      <c r="S66" s="26">
        <v>3.7803178143295231</v>
      </c>
    </row>
    <row r="67" spans="1:19">
      <c r="A67" s="29" t="s">
        <v>105</v>
      </c>
      <c r="B67" s="29" t="s">
        <v>15</v>
      </c>
      <c r="C67" s="38">
        <v>45763</v>
      </c>
      <c r="D67" s="29" t="s">
        <v>16</v>
      </c>
      <c r="E67" s="29" t="s">
        <v>32</v>
      </c>
      <c r="F67" s="14">
        <v>4836</v>
      </c>
      <c r="G67" s="14">
        <v>331</v>
      </c>
      <c r="H67" s="14">
        <v>140</v>
      </c>
      <c r="I67" s="14">
        <v>58792</v>
      </c>
      <c r="J67" s="14">
        <v>47711</v>
      </c>
      <c r="K67" s="14">
        <v>227</v>
      </c>
      <c r="L67" s="29" t="s">
        <v>18</v>
      </c>
      <c r="M67" s="29" t="s">
        <v>19</v>
      </c>
      <c r="N67" s="29" t="s">
        <v>20</v>
      </c>
      <c r="O67" s="29" t="str">
        <f>IF(AND(C67&gt;='Task 1.2'!$B$2,C67&lt;='Task 1.2'!$C$2),"During","Before")</f>
        <v>Before</v>
      </c>
      <c r="P67" s="26">
        <f ca="1">AVERAGEIF(O67:O365,"Before",Posts[[#This Row],[engagement rate]])</f>
        <v>9.6362944394621337</v>
      </c>
      <c r="Q67" s="26">
        <f t="shared" ref="Q67:Q130" si="2">AVERAGEIF($O$2:$O$300, "During",S67:S365)</f>
        <v>9.1862292306488254</v>
      </c>
      <c r="R67" s="26">
        <f ca="1">Posts[[#This Row],[Avg. During]]-Posts[[#This Row],[Avg. Before]]/Posts[[#This Row],[Avg. Before]]</f>
        <v>8.1862292306488254</v>
      </c>
      <c r="S67" s="26">
        <v>9.4128452850727982</v>
      </c>
    </row>
    <row r="68" spans="1:19">
      <c r="A68" s="29" t="s">
        <v>106</v>
      </c>
      <c r="B68" s="29" t="s">
        <v>34</v>
      </c>
      <c r="C68" s="38">
        <v>45384</v>
      </c>
      <c r="D68" s="29" t="s">
        <v>57</v>
      </c>
      <c r="E68" s="29" t="s">
        <v>51</v>
      </c>
      <c r="F68" s="14">
        <v>4563</v>
      </c>
      <c r="G68" s="14">
        <v>488</v>
      </c>
      <c r="H68" s="14">
        <v>356</v>
      </c>
      <c r="I68" s="14">
        <v>30619</v>
      </c>
      <c r="J68" s="14">
        <v>23328</v>
      </c>
      <c r="K68" s="14">
        <v>267</v>
      </c>
      <c r="L68" s="29" t="s">
        <v>23</v>
      </c>
      <c r="M68" s="29" t="s">
        <v>18</v>
      </c>
      <c r="N68" s="29" t="s">
        <v>58</v>
      </c>
      <c r="O68" s="29" t="str">
        <f>IF(AND(C68&gt;='Task 1.2'!$B$2,C68&lt;='Task 1.2'!$C$2),"During","Before")</f>
        <v>Before</v>
      </c>
      <c r="P68" s="26">
        <f ca="1">AVERAGEIF(O68:O366,"Before",Posts[[#This Row],[engagement rate]])</f>
        <v>9.6373147552355984</v>
      </c>
      <c r="Q68" s="26">
        <f t="shared" si="2"/>
        <v>10.787360120953771</v>
      </c>
      <c r="R68" s="26">
        <f ca="1">Posts[[#This Row],[Avg. During]]-Posts[[#This Row],[Avg. Before]]/Posts[[#This Row],[Avg. Before]]</f>
        <v>9.7873601209537711</v>
      </c>
      <c r="S68" s="26">
        <v>18.53097749763219</v>
      </c>
    </row>
    <row r="69" spans="1:19">
      <c r="A69" s="29" t="s">
        <v>107</v>
      </c>
      <c r="B69" s="29" t="s">
        <v>27</v>
      </c>
      <c r="C69" s="38">
        <v>45379</v>
      </c>
      <c r="D69" s="29" t="s">
        <v>16</v>
      </c>
      <c r="E69" s="29" t="s">
        <v>35</v>
      </c>
      <c r="F69" s="14">
        <v>3276</v>
      </c>
      <c r="G69" s="14">
        <v>421</v>
      </c>
      <c r="H69" s="14">
        <v>114</v>
      </c>
      <c r="I69" s="14">
        <v>20580</v>
      </c>
      <c r="J69" s="14">
        <v>30324</v>
      </c>
      <c r="K69" s="14">
        <v>221</v>
      </c>
      <c r="L69" s="29" t="s">
        <v>18</v>
      </c>
      <c r="M69" s="29" t="s">
        <v>24</v>
      </c>
      <c r="N69" s="29" t="s">
        <v>25</v>
      </c>
      <c r="O69" s="29" t="str">
        <f>IF(AND(C69&gt;='Task 1.2'!$B$2,C69&lt;='Task 1.2'!$C$2),"During","Before")</f>
        <v>Before</v>
      </c>
      <c r="P69" s="26">
        <f ca="1">AVERAGEIF(O69:O367,"Before",Posts[[#This Row],[engagement rate]])</f>
        <v>9.5965181371512109</v>
      </c>
      <c r="Q69" s="26">
        <f t="shared" si="2"/>
        <v>8.4537961143302756</v>
      </c>
      <c r="R69" s="26">
        <f ca="1">Posts[[#This Row],[Avg. During]]-Posts[[#This Row],[Avg. Before]]/Posts[[#This Row],[Avg. Before]]</f>
        <v>7.4537961143302756</v>
      </c>
      <c r="S69" s="26">
        <v>19.591836734693878</v>
      </c>
    </row>
    <row r="70" spans="1:19">
      <c r="A70" s="29" t="s">
        <v>108</v>
      </c>
      <c r="B70" s="29" t="s">
        <v>27</v>
      </c>
      <c r="C70" s="38">
        <v>45643</v>
      </c>
      <c r="D70" s="29" t="s">
        <v>28</v>
      </c>
      <c r="E70" s="29" t="s">
        <v>35</v>
      </c>
      <c r="F70" s="14">
        <v>1316</v>
      </c>
      <c r="G70" s="14">
        <v>472</v>
      </c>
      <c r="H70" s="14">
        <v>286</v>
      </c>
      <c r="I70" s="14">
        <v>44692</v>
      </c>
      <c r="J70" s="14">
        <v>53343</v>
      </c>
      <c r="K70" s="14">
        <v>227</v>
      </c>
      <c r="L70" s="29" t="s">
        <v>23</v>
      </c>
      <c r="M70" s="29" t="s">
        <v>30</v>
      </c>
      <c r="N70" s="29" t="s">
        <v>20</v>
      </c>
      <c r="O70" s="29" t="str">
        <f>IF(AND(C70&gt;='Task 1.2'!$B$2,C70&lt;='Task 1.2'!$C$2),"During","Before")</f>
        <v>Before</v>
      </c>
      <c r="P70" s="26">
        <f ca="1">AVERAGEIF(O70:O368,"Before",Posts[[#This Row],[engagement rate]])</f>
        <v>9.5504567611256697</v>
      </c>
      <c r="Q70" s="26">
        <f t="shared" si="2"/>
        <v>8.5330704417354593</v>
      </c>
      <c r="R70" s="26">
        <f ca="1">Posts[[#This Row],[Avg. During]]-Posts[[#This Row],[Avg. Before]]/Posts[[#This Row],[Avg. Before]]</f>
        <v>7.5330704417354593</v>
      </c>
      <c r="S70" s="26">
        <v>5.1485724514454487</v>
      </c>
    </row>
    <row r="71" spans="1:19">
      <c r="A71" s="29" t="s">
        <v>109</v>
      </c>
      <c r="B71" s="29" t="s">
        <v>27</v>
      </c>
      <c r="C71" s="38">
        <v>45662</v>
      </c>
      <c r="D71" s="29" t="s">
        <v>16</v>
      </c>
      <c r="E71" s="29" t="s">
        <v>32</v>
      </c>
      <c r="F71" s="14">
        <v>4811</v>
      </c>
      <c r="G71" s="14">
        <v>473</v>
      </c>
      <c r="H71" s="14">
        <v>254</v>
      </c>
      <c r="I71" s="14">
        <v>51964</v>
      </c>
      <c r="J71" s="14">
        <v>68795</v>
      </c>
      <c r="K71" s="14">
        <v>107</v>
      </c>
      <c r="L71" s="29" t="s">
        <v>19</v>
      </c>
      <c r="M71" s="29" t="s">
        <v>24</v>
      </c>
      <c r="N71" s="29" t="s">
        <v>20</v>
      </c>
      <c r="O71" s="29" t="str">
        <f>IF(AND(C71&gt;='Task 1.2'!$B$2,C71&lt;='Task 1.2'!$C$2),"During","Before")</f>
        <v>Before</v>
      </c>
      <c r="P71" s="26">
        <f ca="1">AVERAGEIF(O71:O369,"Before",Posts[[#This Row],[engagement rate]])</f>
        <v>9.5708358551519677</v>
      </c>
      <c r="Q71" s="26">
        <f t="shared" si="2"/>
        <v>9.1886421182094775</v>
      </c>
      <c r="R71" s="26">
        <f ca="1">Posts[[#This Row],[Avg. During]]-Posts[[#This Row],[Avg. Before]]/Posts[[#This Row],[Avg. Before]]</f>
        <v>8.1886421182094775</v>
      </c>
      <c r="S71" s="26">
        <v>10.863289969979215</v>
      </c>
    </row>
    <row r="72" spans="1:19">
      <c r="A72" s="29" t="s">
        <v>110</v>
      </c>
      <c r="B72" s="29" t="s">
        <v>27</v>
      </c>
      <c r="C72" s="38">
        <v>45302</v>
      </c>
      <c r="D72" s="29" t="s">
        <v>16</v>
      </c>
      <c r="E72" s="29" t="s">
        <v>38</v>
      </c>
      <c r="F72" s="14">
        <v>4218</v>
      </c>
      <c r="G72" s="14">
        <v>247</v>
      </c>
      <c r="H72" s="14">
        <v>183</v>
      </c>
      <c r="I72" s="14">
        <v>28914</v>
      </c>
      <c r="J72" s="14">
        <v>18310</v>
      </c>
      <c r="K72" s="14">
        <v>135</v>
      </c>
      <c r="L72" s="29" t="s">
        <v>18</v>
      </c>
      <c r="M72" s="29" t="s">
        <v>24</v>
      </c>
      <c r="N72" s="29" t="s">
        <v>25</v>
      </c>
      <c r="O72" s="29" t="str">
        <f>IF(AND(C72&gt;='Task 1.2'!$B$2,C72&lt;='Task 1.2'!$C$2),"During","Before")</f>
        <v>Before</v>
      </c>
      <c r="P72" s="26">
        <f ca="1">AVERAGEIF(O72:O370,"Before",Posts[[#This Row],[engagement rate]])</f>
        <v>9.564824440664399</v>
      </c>
      <c r="Q72" s="26">
        <f t="shared" si="2"/>
        <v>10.927439745789803</v>
      </c>
      <c r="R72" s="26">
        <f ca="1">Posts[[#This Row],[Avg. During]]-Posts[[#This Row],[Avg. Before]]/Posts[[#This Row],[Avg. Before]]</f>
        <v>9.9274397457898029</v>
      </c>
      <c r="S72" s="26">
        <v>16.542159507505012</v>
      </c>
    </row>
    <row r="73" spans="1:19">
      <c r="A73" s="29" t="s">
        <v>111</v>
      </c>
      <c r="B73" s="29" t="s">
        <v>15</v>
      </c>
      <c r="C73" s="38">
        <v>45576</v>
      </c>
      <c r="D73" s="29" t="s">
        <v>16</v>
      </c>
      <c r="E73" s="29" t="s">
        <v>49</v>
      </c>
      <c r="F73" s="14">
        <v>1360</v>
      </c>
      <c r="G73" s="14">
        <v>249</v>
      </c>
      <c r="H73" s="14">
        <v>52</v>
      </c>
      <c r="I73" s="14">
        <v>20368</v>
      </c>
      <c r="J73" s="14">
        <v>42152</v>
      </c>
      <c r="K73" s="14">
        <v>193</v>
      </c>
      <c r="L73" s="29" t="s">
        <v>23</v>
      </c>
      <c r="M73" s="29" t="s">
        <v>24</v>
      </c>
      <c r="N73" s="29" t="s">
        <v>25</v>
      </c>
      <c r="O73" s="29" t="str">
        <f>IF(AND(C73&gt;='Task 1.2'!$B$2,C73&lt;='Task 1.2'!$C$2),"During","Before")</f>
        <v>Before</v>
      </c>
      <c r="P73" s="26">
        <f ca="1">AVERAGEIF(O73:O371,"Before",Posts[[#This Row],[engagement rate]])</f>
        <v>9.5322200711931817</v>
      </c>
      <c r="Q73" s="26">
        <f t="shared" si="2"/>
        <v>8.0555957508380942</v>
      </c>
      <c r="R73" s="26">
        <f ca="1">Posts[[#This Row],[Avg. During]]-Posts[[#This Row],[Avg. Before]]/Posts[[#This Row],[Avg. Before]]</f>
        <v>7.0555957508380942</v>
      </c>
      <c r="S73" s="26">
        <v>9.1025137470542035</v>
      </c>
    </row>
    <row r="74" spans="1:19">
      <c r="A74" s="29" t="s">
        <v>112</v>
      </c>
      <c r="B74" s="29" t="s">
        <v>34</v>
      </c>
      <c r="C74" s="38">
        <v>45783</v>
      </c>
      <c r="D74" s="29" t="s">
        <v>57</v>
      </c>
      <c r="E74" s="29" t="s">
        <v>17</v>
      </c>
      <c r="F74" s="14">
        <v>1085</v>
      </c>
      <c r="G74" s="14">
        <v>496</v>
      </c>
      <c r="H74" s="14">
        <v>320</v>
      </c>
      <c r="I74" s="14">
        <v>36528</v>
      </c>
      <c r="J74" s="14">
        <v>38599</v>
      </c>
      <c r="K74" s="14">
        <v>270</v>
      </c>
      <c r="L74" s="29" t="s">
        <v>23</v>
      </c>
      <c r="M74" s="29" t="s">
        <v>18</v>
      </c>
      <c r="N74" s="29" t="s">
        <v>58</v>
      </c>
      <c r="O74" s="29" t="str">
        <f>IF(AND(C74&gt;='Task 1.2'!$B$2,C74&lt;='Task 1.2'!$C$2),"During","Before")</f>
        <v>Before</v>
      </c>
      <c r="P74" s="26">
        <f ca="1">AVERAGEIF(O74:O372,"Before",Posts[[#This Row],[engagement rate]])</f>
        <v>9.5342374717759935</v>
      </c>
      <c r="Q74" s="26">
        <f t="shared" si="2"/>
        <v>9.5800335059587294</v>
      </c>
      <c r="R74" s="26">
        <f ca="1">Posts[[#This Row],[Avg. During]]-Posts[[#This Row],[Avg. Before]]/Posts[[#This Row],[Avg. Before]]</f>
        <v>8.5800335059587294</v>
      </c>
      <c r="S74" s="26">
        <v>5.9433858957512049</v>
      </c>
    </row>
    <row r="75" spans="1:19">
      <c r="A75" s="29" t="s">
        <v>113</v>
      </c>
      <c r="B75" s="29" t="s">
        <v>27</v>
      </c>
      <c r="C75" s="38">
        <v>45431</v>
      </c>
      <c r="D75" s="29" t="s">
        <v>28</v>
      </c>
      <c r="E75" s="29" t="s">
        <v>40</v>
      </c>
      <c r="F75" s="14">
        <v>1763</v>
      </c>
      <c r="G75" s="14">
        <v>206</v>
      </c>
      <c r="H75" s="14">
        <v>187</v>
      </c>
      <c r="I75" s="14">
        <v>53342</v>
      </c>
      <c r="J75" s="14">
        <v>25095</v>
      </c>
      <c r="K75" s="14">
        <v>88</v>
      </c>
      <c r="L75" s="29" t="s">
        <v>23</v>
      </c>
      <c r="M75" s="29" t="s">
        <v>30</v>
      </c>
      <c r="N75" s="29" t="s">
        <v>20</v>
      </c>
      <c r="O75" s="29" t="str">
        <f>IF(AND(C75&gt;='Task 1.2'!$B$2,C75&lt;='Task 1.2'!$C$2),"During","Before")</f>
        <v>Before</v>
      </c>
      <c r="P75" s="26">
        <f ca="1">AVERAGEIF(O75:O373,"Before",Posts[[#This Row],[engagement rate]])</f>
        <v>9.5511754509081843</v>
      </c>
      <c r="Q75" s="26">
        <f t="shared" si="2"/>
        <v>10.140830141231381</v>
      </c>
      <c r="R75" s="26">
        <f ca="1">Posts[[#This Row],[Avg. During]]-Posts[[#This Row],[Avg. Before]]/Posts[[#This Row],[Avg. Before]]</f>
        <v>9.1408301412313815</v>
      </c>
      <c r="S75" s="26">
        <v>4.2068163923362452</v>
      </c>
    </row>
    <row r="76" spans="1:19">
      <c r="A76" s="29" t="s">
        <v>114</v>
      </c>
      <c r="B76" s="29" t="s">
        <v>27</v>
      </c>
      <c r="C76" s="38">
        <v>45313</v>
      </c>
      <c r="D76" s="29" t="s">
        <v>28</v>
      </c>
      <c r="E76" s="29" t="s">
        <v>49</v>
      </c>
      <c r="F76" s="14">
        <v>1554</v>
      </c>
      <c r="G76" s="14">
        <v>455</v>
      </c>
      <c r="H76" s="14">
        <v>158</v>
      </c>
      <c r="I76" s="14">
        <v>41947</v>
      </c>
      <c r="J76" s="14">
        <v>48578</v>
      </c>
      <c r="K76" s="14">
        <v>101</v>
      </c>
      <c r="L76" s="29" t="s">
        <v>18</v>
      </c>
      <c r="M76" s="29" t="s">
        <v>19</v>
      </c>
      <c r="N76" s="29" t="s">
        <v>20</v>
      </c>
      <c r="O76" s="29" t="str">
        <f>IF(AND(C76&gt;='Task 1.2'!$B$2,C76&lt;='Task 1.2'!$C$2),"During","Before")</f>
        <v>Before</v>
      </c>
      <c r="P76" s="26">
        <f ca="1">AVERAGEIF(O76:O374,"Before",Posts[[#This Row],[engagement rate]])</f>
        <v>9.5765041668255861</v>
      </c>
      <c r="Q76" s="26">
        <f t="shared" si="2"/>
        <v>9.6928494068584303</v>
      </c>
      <c r="R76" s="26">
        <f ca="1">Posts[[#This Row],[Avg. During]]-Posts[[#This Row],[Avg. Before]]/Posts[[#This Row],[Avg. Before]]</f>
        <v>8.6928494068584303</v>
      </c>
      <c r="S76" s="26">
        <v>5.4068228955586815</v>
      </c>
    </row>
    <row r="77" spans="1:19">
      <c r="A77" s="29" t="s">
        <v>115</v>
      </c>
      <c r="B77" s="29" t="s">
        <v>15</v>
      </c>
      <c r="C77" s="38">
        <v>45487</v>
      </c>
      <c r="D77" s="29" t="s">
        <v>16</v>
      </c>
      <c r="E77" s="29" t="s">
        <v>32</v>
      </c>
      <c r="F77" s="14">
        <v>2464</v>
      </c>
      <c r="G77" s="14">
        <v>401</v>
      </c>
      <c r="H77" s="14">
        <v>78</v>
      </c>
      <c r="I77" s="14">
        <v>38665</v>
      </c>
      <c r="J77" s="14">
        <v>73593</v>
      </c>
      <c r="K77" s="14">
        <v>207</v>
      </c>
      <c r="L77" s="29" t="s">
        <v>23</v>
      </c>
      <c r="M77" s="29" t="s">
        <v>24</v>
      </c>
      <c r="N77" s="29" t="s">
        <v>25</v>
      </c>
      <c r="O77" s="29" t="str">
        <f>IF(AND(C77&gt;='Task 1.2'!$B$2,C77&lt;='Task 1.2'!$C$2),"During","Before")</f>
        <v>During</v>
      </c>
      <c r="P77" s="26">
        <f ca="1">AVERAGEIF(O77:O375,"Before",Posts[[#This Row],[engagement rate]])</f>
        <v>9.596359791926858</v>
      </c>
      <c r="Q77" s="26">
        <f t="shared" si="2"/>
        <v>8.3509603307042806</v>
      </c>
      <c r="R77" s="26">
        <f ca="1">Posts[[#This Row],[Avg. During]]-Posts[[#This Row],[Avg. Before]]/Posts[[#This Row],[Avg. Before]]</f>
        <v>7.3509603307042806</v>
      </c>
      <c r="S77" s="26">
        <v>8.1469028837449891</v>
      </c>
    </row>
    <row r="78" spans="1:19">
      <c r="A78" s="29" t="s">
        <v>116</v>
      </c>
      <c r="B78" s="29" t="s">
        <v>27</v>
      </c>
      <c r="C78" s="38">
        <v>45805</v>
      </c>
      <c r="D78" s="29" t="s">
        <v>16</v>
      </c>
      <c r="E78" s="29" t="s">
        <v>49</v>
      </c>
      <c r="F78" s="14">
        <v>2418</v>
      </c>
      <c r="G78" s="14">
        <v>161</v>
      </c>
      <c r="H78" s="14">
        <v>360</v>
      </c>
      <c r="I78" s="14">
        <v>30589</v>
      </c>
      <c r="J78" s="14">
        <v>41383</v>
      </c>
      <c r="K78" s="14">
        <v>88</v>
      </c>
      <c r="L78" s="29" t="s">
        <v>19</v>
      </c>
      <c r="M78" s="29" t="s">
        <v>24</v>
      </c>
      <c r="N78" s="29" t="s">
        <v>20</v>
      </c>
      <c r="O78" s="29" t="str">
        <f>IF(AND(C78&gt;='Task 1.2'!$B$2,C78&lt;='Task 1.2'!$C$2),"During","Before")</f>
        <v>Before</v>
      </c>
      <c r="P78" s="26">
        <f ca="1">AVERAGEIF(O78:O376,"Before",Posts[[#This Row],[engagement rate]])</f>
        <v>9.596359791926858</v>
      </c>
      <c r="Q78" s="26">
        <f t="shared" si="2"/>
        <v>11.571568436548029</v>
      </c>
      <c r="R78" s="26">
        <f ca="1">Posts[[#This Row],[Avg. During]]-Posts[[#This Row],[Avg. Before]]/Posts[[#This Row],[Avg. Before]]</f>
        <v>10.571568436548029</v>
      </c>
      <c r="S78" s="26">
        <v>9.8957141456078972</v>
      </c>
    </row>
    <row r="79" spans="1:19">
      <c r="A79" s="29" t="s">
        <v>117</v>
      </c>
      <c r="B79" s="29" t="s">
        <v>27</v>
      </c>
      <c r="C79" s="38">
        <v>45678</v>
      </c>
      <c r="D79" s="29" t="s">
        <v>28</v>
      </c>
      <c r="E79" s="29" t="s">
        <v>17</v>
      </c>
      <c r="F79" s="14">
        <v>2494</v>
      </c>
      <c r="G79" s="14">
        <v>494</v>
      </c>
      <c r="H79" s="14">
        <v>55</v>
      </c>
      <c r="I79" s="14">
        <v>22580</v>
      </c>
      <c r="J79" s="14">
        <v>22214</v>
      </c>
      <c r="K79" s="14">
        <v>109</v>
      </c>
      <c r="L79" s="29" t="s">
        <v>30</v>
      </c>
      <c r="M79" s="29" t="s">
        <v>19</v>
      </c>
      <c r="N79" s="29" t="s">
        <v>20</v>
      </c>
      <c r="O79" s="29" t="str">
        <f>IF(AND(C79&gt;='Task 1.2'!$B$2,C79&lt;='Task 1.2'!$C$2),"During","Before")</f>
        <v>Before</v>
      </c>
      <c r="P79" s="26">
        <f ca="1">AVERAGEIF(O79:O377,"Before",Posts[[#This Row],[engagement rate]])</f>
        <v>9.5949274744451305</v>
      </c>
      <c r="Q79" s="26">
        <f t="shared" si="2"/>
        <v>8.5019582473444633</v>
      </c>
      <c r="R79" s="26">
        <f ca="1">Posts[[#This Row],[Avg. During]]-Posts[[#This Row],[Avg. Before]]/Posts[[#This Row],[Avg. Before]]</f>
        <v>7.5019582473444633</v>
      </c>
      <c r="S79" s="26">
        <v>13.959255978742249</v>
      </c>
    </row>
    <row r="80" spans="1:19">
      <c r="A80" s="29" t="s">
        <v>118</v>
      </c>
      <c r="B80" s="29" t="s">
        <v>34</v>
      </c>
      <c r="C80" s="38">
        <v>45304</v>
      </c>
      <c r="D80" s="29" t="s">
        <v>57</v>
      </c>
      <c r="E80" s="29" t="s">
        <v>29</v>
      </c>
      <c r="F80" s="14">
        <v>4781</v>
      </c>
      <c r="G80" s="14">
        <v>191</v>
      </c>
      <c r="H80" s="14">
        <v>122</v>
      </c>
      <c r="I80" s="14">
        <v>35535</v>
      </c>
      <c r="J80" s="14">
        <v>50777</v>
      </c>
      <c r="K80" s="14">
        <v>128</v>
      </c>
      <c r="L80" s="29" t="s">
        <v>23</v>
      </c>
      <c r="M80" s="29" t="s">
        <v>18</v>
      </c>
      <c r="N80" s="29" t="s">
        <v>58</v>
      </c>
      <c r="O80" s="29" t="str">
        <f>IF(AND(C80&gt;='Task 1.2'!$B$2,C80&lt;='Task 1.2'!$C$2),"During","Before")</f>
        <v>Before</v>
      </c>
      <c r="P80" s="26">
        <f ca="1">AVERAGEIF(O80:O378,"Before",Posts[[#This Row],[engagement rate]])</f>
        <v>9.5739451258667803</v>
      </c>
      <c r="Q80" s="26">
        <f t="shared" si="2"/>
        <v>9.8657675667032585</v>
      </c>
      <c r="R80" s="26">
        <f ca="1">Posts[[#This Row],[Avg. During]]-Posts[[#This Row],[Avg. Before]]/Posts[[#This Row],[Avg. Before]]</f>
        <v>8.8657675667032585</v>
      </c>
      <c r="S80" s="26">
        <v>14.695370761221332</v>
      </c>
    </row>
    <row r="81" spans="1:19">
      <c r="A81" s="29" t="s">
        <v>119</v>
      </c>
      <c r="B81" s="29" t="s">
        <v>15</v>
      </c>
      <c r="C81" s="38">
        <v>45825</v>
      </c>
      <c r="D81" s="29" t="s">
        <v>16</v>
      </c>
      <c r="E81" s="29" t="s">
        <v>35</v>
      </c>
      <c r="F81" s="14">
        <v>2284</v>
      </c>
      <c r="G81" s="14">
        <v>187</v>
      </c>
      <c r="H81" s="14">
        <v>260</v>
      </c>
      <c r="I81" s="14">
        <v>37400</v>
      </c>
      <c r="J81" s="14">
        <v>65014</v>
      </c>
      <c r="K81" s="14">
        <v>157</v>
      </c>
      <c r="L81" s="29" t="s">
        <v>18</v>
      </c>
      <c r="M81" s="29" t="s">
        <v>19</v>
      </c>
      <c r="N81" s="29" t="s">
        <v>20</v>
      </c>
      <c r="O81" s="29" t="str">
        <f>IF(AND(C81&gt;='Task 1.2'!$B$2,C81&lt;='Task 1.2'!$C$2),"During","Before")</f>
        <v>Before</v>
      </c>
      <c r="P81" s="26">
        <f ca="1">AVERAGEIF(O81:O379,"Before",Posts[[#This Row],[engagement rate]])</f>
        <v>9.5492039392225543</v>
      </c>
      <c r="Q81" s="26">
        <f t="shared" si="2"/>
        <v>8.9450223128406865</v>
      </c>
      <c r="R81" s="26">
        <f ca="1">Posts[[#This Row],[Avg. During]]-Posts[[#This Row],[Avg. Before]]/Posts[[#This Row],[Avg. Before]]</f>
        <v>7.9450223128406865</v>
      </c>
      <c r="S81" s="26">
        <v>7.7219251336898402</v>
      </c>
    </row>
    <row r="82" spans="1:19">
      <c r="A82" s="29" t="s">
        <v>120</v>
      </c>
      <c r="B82" s="29" t="s">
        <v>27</v>
      </c>
      <c r="C82" s="38">
        <v>45723</v>
      </c>
      <c r="D82" s="29" t="s">
        <v>16</v>
      </c>
      <c r="E82" s="29" t="s">
        <v>40</v>
      </c>
      <c r="F82" s="14">
        <v>4234</v>
      </c>
      <c r="G82" s="14">
        <v>486</v>
      </c>
      <c r="H82" s="14">
        <v>276</v>
      </c>
      <c r="I82" s="14">
        <v>56623</v>
      </c>
      <c r="J82" s="14">
        <v>41343</v>
      </c>
      <c r="K82" s="14">
        <v>184</v>
      </c>
      <c r="L82" s="29" t="s">
        <v>18</v>
      </c>
      <c r="M82" s="29" t="s">
        <v>24</v>
      </c>
      <c r="N82" s="29" t="s">
        <v>25</v>
      </c>
      <c r="O82" s="29" t="str">
        <f>IF(AND(C82&gt;='Task 1.2'!$B$2,C82&lt;='Task 1.2'!$C$2),"During","Before")</f>
        <v>Before</v>
      </c>
      <c r="P82" s="26">
        <f ca="1">AVERAGEIF(O82:O380,"Before",Posts[[#This Row],[engagement rate]])</f>
        <v>9.5580742246863064</v>
      </c>
      <c r="Q82" s="26">
        <f t="shared" si="2"/>
        <v>9.3290532274474476</v>
      </c>
      <c r="R82" s="26">
        <f ca="1">Posts[[#This Row],[Avg. During]]-Posts[[#This Row],[Avg. Before]]/Posts[[#This Row],[Avg. Before]]</f>
        <v>8.3290532274474476</v>
      </c>
      <c r="S82" s="26">
        <v>9.1482259859067874</v>
      </c>
    </row>
    <row r="83" spans="1:19">
      <c r="A83" s="29" t="s">
        <v>121</v>
      </c>
      <c r="B83" s="29" t="s">
        <v>15</v>
      </c>
      <c r="C83" s="38">
        <v>45530</v>
      </c>
      <c r="D83" s="29" t="s">
        <v>16</v>
      </c>
      <c r="E83" s="29" t="s">
        <v>51</v>
      </c>
      <c r="F83" s="14">
        <v>2102</v>
      </c>
      <c r="G83" s="14">
        <v>181</v>
      </c>
      <c r="H83" s="14">
        <v>306</v>
      </c>
      <c r="I83" s="14">
        <v>43650</v>
      </c>
      <c r="J83" s="14">
        <v>50079</v>
      </c>
      <c r="K83" s="14">
        <v>182</v>
      </c>
      <c r="L83" s="29" t="s">
        <v>23</v>
      </c>
      <c r="M83" s="29" t="s">
        <v>24</v>
      </c>
      <c r="N83" s="29" t="s">
        <v>25</v>
      </c>
      <c r="O83" s="29" t="str">
        <f>IF(AND(C83&gt;='Task 1.2'!$B$2,C83&lt;='Task 1.2'!$C$2),"During","Before")</f>
        <v>Before</v>
      </c>
      <c r="P83" s="26">
        <f ca="1">AVERAGEIF(O83:O381,"Before",Posts[[#This Row],[engagement rate]])</f>
        <v>9.5600734843876705</v>
      </c>
      <c r="Q83" s="26">
        <f t="shared" si="2"/>
        <v>10.144792546721677</v>
      </c>
      <c r="R83" s="26">
        <f ca="1">Posts[[#This Row],[Avg. During]]-Posts[[#This Row],[Avg. Before]]/Posts[[#This Row],[Avg. Before]]</f>
        <v>9.1447925467216766</v>
      </c>
      <c r="S83" s="26">
        <v>6.3482245131729664</v>
      </c>
    </row>
    <row r="84" spans="1:19">
      <c r="A84" s="29" t="s">
        <v>122</v>
      </c>
      <c r="B84" s="29" t="s">
        <v>27</v>
      </c>
      <c r="C84" s="38">
        <v>45660</v>
      </c>
      <c r="D84" s="29" t="s">
        <v>28</v>
      </c>
      <c r="E84" s="29" t="s">
        <v>40</v>
      </c>
      <c r="F84" s="14">
        <v>4845</v>
      </c>
      <c r="G84" s="14">
        <v>158</v>
      </c>
      <c r="H84" s="14">
        <v>84</v>
      </c>
      <c r="I84" s="14">
        <v>34578</v>
      </c>
      <c r="J84" s="14">
        <v>51480</v>
      </c>
      <c r="K84" s="14">
        <v>180</v>
      </c>
      <c r="L84" s="29" t="s">
        <v>18</v>
      </c>
      <c r="M84" s="29" t="s">
        <v>19</v>
      </c>
      <c r="N84" s="29" t="s">
        <v>20</v>
      </c>
      <c r="O84" s="29" t="str">
        <f>IF(AND(C84&gt;='Task 1.2'!$B$2,C84&lt;='Task 1.2'!$C$2),"During","Before")</f>
        <v>Before</v>
      </c>
      <c r="P84" s="26">
        <f ca="1">AVERAGEIF(O84:O382,"Before",Posts[[#This Row],[engagement rate]])</f>
        <v>9.5758178420897018</v>
      </c>
      <c r="Q84" s="26">
        <f t="shared" si="2"/>
        <v>9.6837997000356477</v>
      </c>
      <c r="R84" s="26">
        <f ca="1">Posts[[#This Row],[Avg. During]]-Posts[[#This Row],[Avg. Before]]/Posts[[#This Row],[Avg. Before]]</f>
        <v>8.6837997000356477</v>
      </c>
      <c r="S84" s="26">
        <v>15.232228584649199</v>
      </c>
    </row>
    <row r="85" spans="1:19">
      <c r="A85" s="29" t="s">
        <v>123</v>
      </c>
      <c r="B85" s="29" t="s">
        <v>27</v>
      </c>
      <c r="C85" s="38">
        <v>45507</v>
      </c>
      <c r="D85" s="29" t="s">
        <v>16</v>
      </c>
      <c r="E85" s="29" t="s">
        <v>51</v>
      </c>
      <c r="F85" s="14">
        <v>4247</v>
      </c>
      <c r="G85" s="14">
        <v>390</v>
      </c>
      <c r="H85" s="14">
        <v>213</v>
      </c>
      <c r="I85" s="14">
        <v>29785</v>
      </c>
      <c r="J85" s="14">
        <v>57768</v>
      </c>
      <c r="K85" s="14">
        <v>122</v>
      </c>
      <c r="L85" s="29" t="s">
        <v>19</v>
      </c>
      <c r="M85" s="29" t="s">
        <v>24</v>
      </c>
      <c r="N85" s="29" t="s">
        <v>20</v>
      </c>
      <c r="O85" s="29" t="str">
        <f>IF(AND(C85&gt;='Task 1.2'!$B$2,C85&lt;='Task 1.2'!$C$2),"During","Before")</f>
        <v>Before</v>
      </c>
      <c r="P85" s="26">
        <f ca="1">AVERAGEIF(O85:O383,"Before",Posts[[#This Row],[engagement rate]])</f>
        <v>9.5479537497618239</v>
      </c>
      <c r="Q85" s="26">
        <f t="shared" si="2"/>
        <v>8.6408960544725932</v>
      </c>
      <c r="R85" s="26">
        <f ca="1">Posts[[#This Row],[Avg. During]]-Posts[[#This Row],[Avg. Before]]/Posts[[#This Row],[Avg. Before]]</f>
        <v>7.6408960544725932</v>
      </c>
      <c r="S85" s="26">
        <v>16.692966258183649</v>
      </c>
    </row>
    <row r="86" spans="1:19">
      <c r="A86" s="29" t="s">
        <v>124</v>
      </c>
      <c r="B86" s="29" t="s">
        <v>15</v>
      </c>
      <c r="C86" s="38">
        <v>45522</v>
      </c>
      <c r="D86" s="29" t="s">
        <v>16</v>
      </c>
      <c r="E86" s="29" t="s">
        <v>22</v>
      </c>
      <c r="F86" s="14">
        <v>2965</v>
      </c>
      <c r="G86" s="14">
        <v>328</v>
      </c>
      <c r="H86" s="14">
        <v>171</v>
      </c>
      <c r="I86" s="14">
        <v>57685</v>
      </c>
      <c r="J86" s="14">
        <v>67536</v>
      </c>
      <c r="K86" s="14">
        <v>264</v>
      </c>
      <c r="L86" s="29" t="s">
        <v>18</v>
      </c>
      <c r="M86" s="29" t="s">
        <v>19</v>
      </c>
      <c r="N86" s="29" t="s">
        <v>20</v>
      </c>
      <c r="O86" s="29" t="str">
        <f>IF(AND(C86&gt;='Task 1.2'!$B$2,C86&lt;='Task 1.2'!$C$2),"During","Before")</f>
        <v>Before</v>
      </c>
      <c r="P86" s="26">
        <f ca="1">AVERAGEIF(O86:O384,"Before",Posts[[#This Row],[engagement rate]])</f>
        <v>9.5125824007102295</v>
      </c>
      <c r="Q86" s="26">
        <f t="shared" si="2"/>
        <v>7.904777021301256</v>
      </c>
      <c r="R86" s="26">
        <f ca="1">Posts[[#This Row],[Avg. During]]-Posts[[#This Row],[Avg. Before]]/Posts[[#This Row],[Avg. Before]]</f>
        <v>6.904777021301256</v>
      </c>
      <c r="S86" s="26">
        <v>6.4626852734679732</v>
      </c>
    </row>
    <row r="87" spans="1:19">
      <c r="A87" s="29" t="s">
        <v>125</v>
      </c>
      <c r="B87" s="29" t="s">
        <v>27</v>
      </c>
      <c r="C87" s="38">
        <v>45791</v>
      </c>
      <c r="D87" s="29" t="s">
        <v>28</v>
      </c>
      <c r="E87" s="29" t="s">
        <v>32</v>
      </c>
      <c r="F87" s="14">
        <v>1371</v>
      </c>
      <c r="G87" s="14">
        <v>139</v>
      </c>
      <c r="H87" s="14">
        <v>96</v>
      </c>
      <c r="I87" s="14">
        <v>36140</v>
      </c>
      <c r="J87" s="14">
        <v>39395</v>
      </c>
      <c r="K87" s="14">
        <v>169</v>
      </c>
      <c r="L87" s="29" t="s">
        <v>18</v>
      </c>
      <c r="M87" s="29" t="s">
        <v>19</v>
      </c>
      <c r="N87" s="29" t="s">
        <v>20</v>
      </c>
      <c r="O87" s="29" t="str">
        <f>IF(AND(C87&gt;='Task 1.2'!$B$2,C87&lt;='Task 1.2'!$C$2),"During","Before")</f>
        <v>Before</v>
      </c>
      <c r="P87" s="26">
        <f ca="1">AVERAGEIF(O87:O385,"Before",Posts[[#This Row],[engagement rate]])</f>
        <v>9.5277560182586978</v>
      </c>
      <c r="Q87" s="26">
        <f t="shared" si="2"/>
        <v>9.3505386328157822</v>
      </c>
      <c r="R87" s="26">
        <f ca="1">Posts[[#This Row],[Avg. During]]-Posts[[#This Row],[Avg. Before]]/Posts[[#This Row],[Avg. Before]]</f>
        <v>8.3505386328157822</v>
      </c>
      <c r="S87" s="26">
        <v>4.9114554510237962</v>
      </c>
    </row>
    <row r="88" spans="1:19">
      <c r="A88" s="29" t="s">
        <v>126</v>
      </c>
      <c r="B88" s="29" t="s">
        <v>27</v>
      </c>
      <c r="C88" s="38">
        <v>45405</v>
      </c>
      <c r="D88" s="29" t="s">
        <v>28</v>
      </c>
      <c r="E88" s="29" t="s">
        <v>17</v>
      </c>
      <c r="F88" s="14">
        <v>2683</v>
      </c>
      <c r="G88" s="14">
        <v>496</v>
      </c>
      <c r="H88" s="14">
        <v>89</v>
      </c>
      <c r="I88" s="14">
        <v>53435</v>
      </c>
      <c r="J88" s="14">
        <v>30334</v>
      </c>
      <c r="K88" s="14">
        <v>160</v>
      </c>
      <c r="L88" s="29" t="s">
        <v>18</v>
      </c>
      <c r="M88" s="29" t="s">
        <v>19</v>
      </c>
      <c r="N88" s="29" t="s">
        <v>20</v>
      </c>
      <c r="O88" s="29" t="str">
        <f>IF(AND(C88&gt;='Task 1.2'!$B$2,C88&lt;='Task 1.2'!$C$2),"During","Before")</f>
        <v>Before</v>
      </c>
      <c r="P88" s="26">
        <f ca="1">AVERAGEIF(O88:O386,"Before",Posts[[#This Row],[engagement rate]])</f>
        <v>9.5508375210948717</v>
      </c>
      <c r="Q88" s="26">
        <f t="shared" si="2"/>
        <v>8.8478492931793937</v>
      </c>
      <c r="R88" s="26">
        <f ca="1">Posts[[#This Row],[Avg. During]]-Posts[[#This Row],[Avg. Before]]/Posts[[#This Row],[Avg. Before]]</f>
        <v>7.8478492931793937</v>
      </c>
      <c r="S88" s="26">
        <v>6.4152708898661928</v>
      </c>
    </row>
    <row r="89" spans="1:19">
      <c r="A89" s="29" t="s">
        <v>127</v>
      </c>
      <c r="B89" s="29" t="s">
        <v>27</v>
      </c>
      <c r="C89" s="38">
        <v>45705</v>
      </c>
      <c r="D89" s="29" t="s">
        <v>28</v>
      </c>
      <c r="E89" s="29" t="s">
        <v>38</v>
      </c>
      <c r="F89" s="14">
        <v>4796</v>
      </c>
      <c r="G89" s="14">
        <v>427</v>
      </c>
      <c r="H89" s="14">
        <v>339</v>
      </c>
      <c r="I89" s="14">
        <v>30752</v>
      </c>
      <c r="J89" s="14">
        <v>33870</v>
      </c>
      <c r="K89" s="14">
        <v>298</v>
      </c>
      <c r="L89" s="29" t="s">
        <v>18</v>
      </c>
      <c r="M89" s="29" t="s">
        <v>19</v>
      </c>
      <c r="N89" s="29" t="s">
        <v>20</v>
      </c>
      <c r="O89" s="29" t="str">
        <f>IF(AND(C89&gt;='Task 1.2'!$B$2,C89&lt;='Task 1.2'!$C$2),"During","Before")</f>
        <v>Before</v>
      </c>
      <c r="P89" s="26">
        <f ca="1">AVERAGEIF(O89:O387,"Before",Posts[[#This Row],[engagement rate]])</f>
        <v>9.5665941373322045</v>
      </c>
      <c r="Q89" s="26">
        <f t="shared" si="2"/>
        <v>10.34335651795921</v>
      </c>
      <c r="R89" s="26">
        <f ca="1">Posts[[#This Row],[Avg. During]]-Posts[[#This Row],[Avg. Before]]/Posts[[#This Row],[Avg. Before]]</f>
        <v>9.3433565179592097</v>
      </c>
      <c r="S89" s="26">
        <v>19.055671175858478</v>
      </c>
    </row>
    <row r="90" spans="1:19">
      <c r="A90" s="29" t="s">
        <v>128</v>
      </c>
      <c r="B90" s="29" t="s">
        <v>15</v>
      </c>
      <c r="C90" s="38">
        <v>45630</v>
      </c>
      <c r="D90" s="29" t="s">
        <v>16</v>
      </c>
      <c r="E90" s="29" t="s">
        <v>32</v>
      </c>
      <c r="F90" s="14">
        <v>2601</v>
      </c>
      <c r="G90" s="14">
        <v>336</v>
      </c>
      <c r="H90" s="14">
        <v>260</v>
      </c>
      <c r="I90" s="14">
        <v>32368</v>
      </c>
      <c r="J90" s="14">
        <v>49028</v>
      </c>
      <c r="K90" s="14">
        <v>120</v>
      </c>
      <c r="L90" s="29" t="s">
        <v>18</v>
      </c>
      <c r="M90" s="29" t="s">
        <v>19</v>
      </c>
      <c r="N90" s="29" t="s">
        <v>20</v>
      </c>
      <c r="O90" s="29" t="str">
        <f>IF(AND(C90&gt;='Task 1.2'!$B$2,C90&lt;='Task 1.2'!$C$2),"During","Before")</f>
        <v>Before</v>
      </c>
      <c r="P90" s="26">
        <f ca="1">AVERAGEIF(O90:O388,"Before",Posts[[#This Row],[engagement rate]])</f>
        <v>9.5186695058244961</v>
      </c>
      <c r="Q90" s="26">
        <f t="shared" si="2"/>
        <v>6.7214114917181087</v>
      </c>
      <c r="R90" s="26">
        <f ca="1">Posts[[#This Row],[Avg. During]]-Posts[[#This Row],[Avg. Before]]/Posts[[#This Row],[Avg. Before]]</f>
        <v>5.7214114917181087</v>
      </c>
      <c r="S90" s="26">
        <v>10.247775580820564</v>
      </c>
    </row>
    <row r="91" spans="1:19">
      <c r="A91" s="29" t="s">
        <v>129</v>
      </c>
      <c r="B91" s="29" t="s">
        <v>27</v>
      </c>
      <c r="C91" s="38">
        <v>45495</v>
      </c>
      <c r="D91" s="29" t="s">
        <v>28</v>
      </c>
      <c r="E91" s="29" t="s">
        <v>32</v>
      </c>
      <c r="F91" s="14">
        <v>3336</v>
      </c>
      <c r="G91" s="14">
        <v>229</v>
      </c>
      <c r="H91" s="14">
        <v>337</v>
      </c>
      <c r="I91" s="14">
        <v>22117</v>
      </c>
      <c r="J91" s="14">
        <v>26205</v>
      </c>
      <c r="K91" s="14">
        <v>160</v>
      </c>
      <c r="L91" s="29" t="s">
        <v>30</v>
      </c>
      <c r="M91" s="29" t="s">
        <v>19</v>
      </c>
      <c r="N91" s="29" t="s">
        <v>20</v>
      </c>
      <c r="O91" s="29" t="str">
        <f>IF(AND(C91&gt;='Task 1.2'!$B$2,C91&lt;='Task 1.2'!$C$2),"During","Before")</f>
        <v>Before</v>
      </c>
      <c r="P91" s="26">
        <f ca="1">AVERAGEIF(O91:O389,"Before",Posts[[#This Row],[engagement rate]])</f>
        <v>9.5149684597585278</v>
      </c>
      <c r="Q91" s="26">
        <f t="shared" si="2"/>
        <v>10.809741236761907</v>
      </c>
      <c r="R91" s="26">
        <f ca="1">Posts[[#This Row],[Avg. During]]-Posts[[#This Row],[Avg. Before]]/Posts[[#This Row],[Avg. Before]]</f>
        <v>9.8097412367619068</v>
      </c>
      <c r="S91" s="26">
        <v>18.365962834019083</v>
      </c>
    </row>
    <row r="92" spans="1:19">
      <c r="A92" s="29" t="s">
        <v>130</v>
      </c>
      <c r="B92" s="29" t="s">
        <v>27</v>
      </c>
      <c r="C92" s="38">
        <v>45774</v>
      </c>
      <c r="D92" s="29" t="s">
        <v>16</v>
      </c>
      <c r="E92" s="29" t="s">
        <v>22</v>
      </c>
      <c r="F92" s="14">
        <v>1165</v>
      </c>
      <c r="G92" s="14">
        <v>294</v>
      </c>
      <c r="H92" s="14">
        <v>163</v>
      </c>
      <c r="I92" s="14">
        <v>20659</v>
      </c>
      <c r="J92" s="14">
        <v>45926</v>
      </c>
      <c r="K92" s="14">
        <v>111</v>
      </c>
      <c r="L92" s="29" t="s">
        <v>18</v>
      </c>
      <c r="M92" s="29" t="s">
        <v>24</v>
      </c>
      <c r="N92" s="29" t="s">
        <v>25</v>
      </c>
      <c r="O92" s="29" t="str">
        <f>IF(AND(C92&gt;='Task 1.2'!$B$2,C92&lt;='Task 1.2'!$C$2),"During","Before")</f>
        <v>Before</v>
      </c>
      <c r="P92" s="26">
        <f ca="1">AVERAGEIF(O92:O390,"Before",Posts[[#This Row],[engagement rate]])</f>
        <v>9.469810325195974</v>
      </c>
      <c r="Q92" s="26">
        <f t="shared" si="2"/>
        <v>9.8298422258921434</v>
      </c>
      <c r="R92" s="26">
        <f ca="1">Posts[[#This Row],[Avg. During]]-Posts[[#This Row],[Avg. Before]]/Posts[[#This Row],[Avg. Before]]</f>
        <v>8.8298422258921434</v>
      </c>
      <c r="S92" s="26">
        <v>8.3885957693983251</v>
      </c>
    </row>
    <row r="93" spans="1:19">
      <c r="A93" s="29" t="s">
        <v>131</v>
      </c>
      <c r="B93" s="29" t="s">
        <v>34</v>
      </c>
      <c r="C93" s="38">
        <v>45376</v>
      </c>
      <c r="D93" s="29" t="s">
        <v>57</v>
      </c>
      <c r="E93" s="29" t="s">
        <v>22</v>
      </c>
      <c r="F93" s="14">
        <v>1948</v>
      </c>
      <c r="G93" s="14">
        <v>155</v>
      </c>
      <c r="H93" s="14">
        <v>315</v>
      </c>
      <c r="I93" s="14">
        <v>30321</v>
      </c>
      <c r="J93" s="14">
        <v>57121</v>
      </c>
      <c r="K93" s="14">
        <v>82</v>
      </c>
      <c r="L93" s="29" t="s">
        <v>23</v>
      </c>
      <c r="M93" s="29" t="s">
        <v>18</v>
      </c>
      <c r="N93" s="29" t="s">
        <v>58</v>
      </c>
      <c r="O93" s="29" t="str">
        <f>IF(AND(C93&gt;='Task 1.2'!$B$2,C93&lt;='Task 1.2'!$C$2),"During","Before")</f>
        <v>Before</v>
      </c>
      <c r="P93" s="26">
        <f ca="1">AVERAGEIF(O93:O391,"Before",Posts[[#This Row],[engagement rate]])</f>
        <v>9.4753550152257056</v>
      </c>
      <c r="Q93" s="26">
        <f t="shared" si="2"/>
        <v>12.976462956142347</v>
      </c>
      <c r="R93" s="26">
        <f ca="1">Posts[[#This Row],[Avg. During]]-Posts[[#This Row],[Avg. Before]]/Posts[[#This Row],[Avg. Before]]</f>
        <v>11.976462956142347</v>
      </c>
      <c r="S93" s="26">
        <v>8.245110649384916</v>
      </c>
    </row>
    <row r="94" spans="1:19">
      <c r="A94" s="29" t="s">
        <v>132</v>
      </c>
      <c r="B94" s="29" t="s">
        <v>15</v>
      </c>
      <c r="C94" s="38">
        <v>45351</v>
      </c>
      <c r="D94" s="29" t="s">
        <v>16</v>
      </c>
      <c r="E94" s="29" t="s">
        <v>49</v>
      </c>
      <c r="F94" s="14">
        <v>1100</v>
      </c>
      <c r="G94" s="14">
        <v>229</v>
      </c>
      <c r="H94" s="14">
        <v>312</v>
      </c>
      <c r="I94" s="14">
        <v>25641</v>
      </c>
      <c r="J94" s="14">
        <v>34601</v>
      </c>
      <c r="K94" s="14">
        <v>169</v>
      </c>
      <c r="L94" s="29" t="s">
        <v>23</v>
      </c>
      <c r="M94" s="29" t="s">
        <v>24</v>
      </c>
      <c r="N94" s="29" t="s">
        <v>25</v>
      </c>
      <c r="O94" s="29" t="str">
        <f>IF(AND(C94&gt;='Task 1.2'!$B$2,C94&lt;='Task 1.2'!$C$2),"During","Before")</f>
        <v>Before</v>
      </c>
      <c r="P94" s="26">
        <f ca="1">AVERAGEIF(O94:O392,"Before",Posts[[#This Row],[engagement rate]])</f>
        <v>9.4816964810290081</v>
      </c>
      <c r="Q94" s="26">
        <f t="shared" si="2"/>
        <v>9.7218661041250893</v>
      </c>
      <c r="R94" s="26">
        <f ca="1">Posts[[#This Row],[Avg. During]]-Posts[[#This Row],[Avg. Before]]/Posts[[#This Row],[Avg. Before]]</f>
        <v>8.7218661041250893</v>
      </c>
      <c r="S94" s="26">
        <v>7.059007059007059</v>
      </c>
    </row>
    <row r="95" spans="1:19">
      <c r="A95" s="29" t="s">
        <v>133</v>
      </c>
      <c r="B95" s="29" t="s">
        <v>27</v>
      </c>
      <c r="C95" s="38">
        <v>45609</v>
      </c>
      <c r="D95" s="29" t="s">
        <v>28</v>
      </c>
      <c r="E95" s="29" t="s">
        <v>43</v>
      </c>
      <c r="F95" s="14">
        <v>4628</v>
      </c>
      <c r="G95" s="14">
        <v>257</v>
      </c>
      <c r="H95" s="14">
        <v>397</v>
      </c>
      <c r="I95" s="14">
        <v>36686</v>
      </c>
      <c r="J95" s="14">
        <v>54683</v>
      </c>
      <c r="K95" s="14">
        <v>98</v>
      </c>
      <c r="L95" s="29" t="s">
        <v>18</v>
      </c>
      <c r="M95" s="29" t="s">
        <v>19</v>
      </c>
      <c r="N95" s="29" t="s">
        <v>20</v>
      </c>
      <c r="O95" s="29" t="str">
        <f>IF(AND(C95&gt;='Task 1.2'!$B$2,C95&lt;='Task 1.2'!$C$2),"During","Before")</f>
        <v>Before</v>
      </c>
      <c r="P95" s="26">
        <f ca="1">AVERAGEIF(O95:O393,"Before",Posts[[#This Row],[engagement rate]])</f>
        <v>9.4942492759617636</v>
      </c>
      <c r="Q95" s="26">
        <f t="shared" si="2"/>
        <v>8.8672313804064551</v>
      </c>
      <c r="R95" s="26">
        <f ca="1">Posts[[#This Row],[Avg. During]]-Posts[[#This Row],[Avg. Before]]/Posts[[#This Row],[Avg. Before]]</f>
        <v>7.8672313804064551</v>
      </c>
      <c r="S95" s="26">
        <v>14.664994820912611</v>
      </c>
    </row>
    <row r="96" spans="1:19">
      <c r="A96" s="29" t="s">
        <v>134</v>
      </c>
      <c r="B96" s="29" t="s">
        <v>15</v>
      </c>
      <c r="C96" s="38">
        <v>45373</v>
      </c>
      <c r="D96" s="29" t="s">
        <v>28</v>
      </c>
      <c r="E96" s="29" t="s">
        <v>17</v>
      </c>
      <c r="F96" s="14">
        <v>2319</v>
      </c>
      <c r="G96" s="14">
        <v>484</v>
      </c>
      <c r="H96" s="14">
        <v>193</v>
      </c>
      <c r="I96" s="14">
        <v>21202</v>
      </c>
      <c r="J96" s="14">
        <v>18091</v>
      </c>
      <c r="K96" s="14">
        <v>241</v>
      </c>
      <c r="L96" s="29" t="s">
        <v>19</v>
      </c>
      <c r="M96" s="29" t="s">
        <v>24</v>
      </c>
      <c r="N96" s="29" t="s">
        <v>55</v>
      </c>
      <c r="O96" s="29" t="str">
        <f>IF(AND(C96&gt;='Task 1.2'!$B$2,C96&lt;='Task 1.2'!$C$2),"During","Before")</f>
        <v>Before</v>
      </c>
      <c r="P96" s="26">
        <f ca="1">AVERAGEIF(O96:O394,"Before",Posts[[#This Row],[engagement rate]])</f>
        <v>9.4673183095818114</v>
      </c>
      <c r="Q96" s="26">
        <f t="shared" si="2"/>
        <v>10.01483346967056</v>
      </c>
      <c r="R96" s="26">
        <f ca="1">Posts[[#This Row],[Avg. During]]-Posts[[#This Row],[Avg. Before]]/Posts[[#This Row],[Avg. Before]]</f>
        <v>9.0148334696705597</v>
      </c>
      <c r="S96" s="26">
        <v>15.2674276011697</v>
      </c>
    </row>
    <row r="97" spans="1:19">
      <c r="A97" s="29" t="s">
        <v>135</v>
      </c>
      <c r="B97" s="29" t="s">
        <v>27</v>
      </c>
      <c r="C97" s="38">
        <v>45367</v>
      </c>
      <c r="D97" s="29" t="s">
        <v>28</v>
      </c>
      <c r="E97" s="29" t="s">
        <v>32</v>
      </c>
      <c r="F97" s="14">
        <v>2895</v>
      </c>
      <c r="G97" s="14">
        <v>292</v>
      </c>
      <c r="H97" s="14">
        <v>90</v>
      </c>
      <c r="I97" s="14">
        <v>24223</v>
      </c>
      <c r="J97" s="14">
        <v>54626</v>
      </c>
      <c r="K97" s="14">
        <v>114</v>
      </c>
      <c r="L97" s="29" t="s">
        <v>18</v>
      </c>
      <c r="M97" s="29" t="s">
        <v>19</v>
      </c>
      <c r="N97" s="29" t="s">
        <v>20</v>
      </c>
      <c r="O97" s="29" t="str">
        <f>IF(AND(C97&gt;='Task 1.2'!$B$2,C97&lt;='Task 1.2'!$C$2),"During","Before")</f>
        <v>Before</v>
      </c>
      <c r="P97" s="26">
        <f ca="1">AVERAGEIF(O97:O395,"Before",Posts[[#This Row],[engagement rate]])</f>
        <v>9.4369512452279469</v>
      </c>
      <c r="Q97" s="26">
        <f t="shared" si="2"/>
        <v>10.529746149414544</v>
      </c>
      <c r="R97" s="26">
        <f ca="1">Posts[[#This Row],[Avg. During]]-Posts[[#This Row],[Avg. Before]]/Posts[[#This Row],[Avg. Before]]</f>
        <v>9.5297461494145441</v>
      </c>
      <c r="S97" s="26">
        <v>13.99909177228254</v>
      </c>
    </row>
    <row r="98" spans="1:19">
      <c r="A98" s="29" t="s">
        <v>136</v>
      </c>
      <c r="B98" s="29" t="s">
        <v>15</v>
      </c>
      <c r="C98" s="38">
        <v>45317</v>
      </c>
      <c r="D98" s="29" t="s">
        <v>16</v>
      </c>
      <c r="E98" s="29" t="s">
        <v>38</v>
      </c>
      <c r="F98" s="14">
        <v>3878</v>
      </c>
      <c r="G98" s="14">
        <v>431</v>
      </c>
      <c r="H98" s="14">
        <v>97</v>
      </c>
      <c r="I98" s="14">
        <v>41763</v>
      </c>
      <c r="J98" s="14">
        <v>29729</v>
      </c>
      <c r="K98" s="14">
        <v>191</v>
      </c>
      <c r="L98" s="29" t="s">
        <v>23</v>
      </c>
      <c r="M98" s="29" t="s">
        <v>24</v>
      </c>
      <c r="N98" s="29" t="s">
        <v>25</v>
      </c>
      <c r="O98" s="29" t="str">
        <f>IF(AND(C98&gt;='Task 1.2'!$B$2,C98&lt;='Task 1.2'!$C$2),"During","Before")</f>
        <v>Before</v>
      </c>
      <c r="P98" s="26">
        <f ca="1">AVERAGEIF(O98:O396,"Before",Posts[[#This Row],[engagement rate]])</f>
        <v>9.4129399792960804</v>
      </c>
      <c r="Q98" s="26">
        <f t="shared" si="2"/>
        <v>9.9481094633114981</v>
      </c>
      <c r="R98" s="26">
        <f ca="1">Posts[[#This Row],[Avg. During]]-Posts[[#This Row],[Avg. Before]]/Posts[[#This Row],[Avg. Before]]</f>
        <v>8.9481094633114981</v>
      </c>
      <c r="S98" s="26">
        <v>11.007351004477647</v>
      </c>
    </row>
    <row r="99" spans="1:19">
      <c r="A99" s="29" t="s">
        <v>137</v>
      </c>
      <c r="B99" s="29" t="s">
        <v>27</v>
      </c>
      <c r="C99" s="38">
        <v>45366</v>
      </c>
      <c r="D99" s="29" t="s">
        <v>28</v>
      </c>
      <c r="E99" s="29" t="s">
        <v>40</v>
      </c>
      <c r="F99" s="14">
        <v>4969</v>
      </c>
      <c r="G99" s="14">
        <v>433</v>
      </c>
      <c r="H99" s="14">
        <v>237</v>
      </c>
      <c r="I99" s="14">
        <v>59552</v>
      </c>
      <c r="J99" s="14">
        <v>23885</v>
      </c>
      <c r="K99" s="14">
        <v>157</v>
      </c>
      <c r="L99" s="29" t="s">
        <v>23</v>
      </c>
      <c r="M99" s="29" t="s">
        <v>30</v>
      </c>
      <c r="N99" s="29" t="s">
        <v>20</v>
      </c>
      <c r="O99" s="29" t="str">
        <f>IF(AND(C99&gt;='Task 1.2'!$B$2,C99&lt;='Task 1.2'!$C$2),"During","Before")</f>
        <v>Before</v>
      </c>
      <c r="P99" s="26">
        <f ca="1">AVERAGEIF(O99:O397,"Before",Posts[[#This Row],[engagement rate]])</f>
        <v>9.4045039421258068</v>
      </c>
      <c r="Q99" s="26">
        <f t="shared" si="2"/>
        <v>8.6646187698782757</v>
      </c>
      <c r="R99" s="26">
        <f ca="1">Posts[[#This Row],[Avg. During]]-Posts[[#This Row],[Avg. Before]]/Posts[[#This Row],[Avg. Before]]</f>
        <v>7.6646187698782757</v>
      </c>
      <c r="S99" s="26">
        <v>9.732670607200431</v>
      </c>
    </row>
    <row r="100" spans="1:19">
      <c r="A100" s="29" t="s">
        <v>138</v>
      </c>
      <c r="B100" s="29" t="s">
        <v>27</v>
      </c>
      <c r="C100" s="38">
        <v>45580</v>
      </c>
      <c r="D100" s="29" t="s">
        <v>16</v>
      </c>
      <c r="E100" s="29" t="s">
        <v>32</v>
      </c>
      <c r="F100" s="14">
        <v>1984</v>
      </c>
      <c r="G100" s="14">
        <v>481</v>
      </c>
      <c r="H100" s="14">
        <v>356</v>
      </c>
      <c r="I100" s="14">
        <v>40681</v>
      </c>
      <c r="J100" s="14">
        <v>63111</v>
      </c>
      <c r="K100" s="14">
        <v>258</v>
      </c>
      <c r="L100" s="29" t="s">
        <v>19</v>
      </c>
      <c r="M100" s="29" t="s">
        <v>24</v>
      </c>
      <c r="N100" s="29" t="s">
        <v>20</v>
      </c>
      <c r="O100" s="29" t="str">
        <f>IF(AND(C100&gt;='Task 1.2'!$B$2,C100&lt;='Task 1.2'!$C$2),"During","Before")</f>
        <v>Before</v>
      </c>
      <c r="P100" s="26">
        <f ca="1">AVERAGEIF(O100:O398,"Before",Posts[[#This Row],[engagement rate]])</f>
        <v>9.40275837475839</v>
      </c>
      <c r="Q100" s="26">
        <f t="shared" si="2"/>
        <v>7.3965727156648198</v>
      </c>
      <c r="R100" s="26">
        <f ca="1">Posts[[#This Row],[Avg. During]]-Posts[[#This Row],[Avg. Before]]/Posts[[#This Row],[Avg. Before]]</f>
        <v>6.3965727156648198</v>
      </c>
      <c r="S100" s="26">
        <v>7.5686438386470334</v>
      </c>
    </row>
    <row r="101" spans="1:19">
      <c r="A101" s="29" t="s">
        <v>139</v>
      </c>
      <c r="B101" s="29" t="s">
        <v>15</v>
      </c>
      <c r="C101" s="38">
        <v>45494</v>
      </c>
      <c r="D101" s="29" t="s">
        <v>16</v>
      </c>
      <c r="E101" s="29" t="s">
        <v>17</v>
      </c>
      <c r="F101" s="14">
        <v>3004</v>
      </c>
      <c r="G101" s="14">
        <v>415</v>
      </c>
      <c r="H101" s="14">
        <v>218</v>
      </c>
      <c r="I101" s="14">
        <v>36090</v>
      </c>
      <c r="J101" s="14">
        <v>37073</v>
      </c>
      <c r="K101" s="14">
        <v>181</v>
      </c>
      <c r="L101" s="29" t="s">
        <v>23</v>
      </c>
      <c r="M101" s="29" t="s">
        <v>24</v>
      </c>
      <c r="N101" s="29" t="s">
        <v>25</v>
      </c>
      <c r="O101" s="29" t="str">
        <f>IF(AND(C101&gt;='Task 1.2'!$B$2,C101&lt;='Task 1.2'!$C$2),"During","Before")</f>
        <v>Before</v>
      </c>
      <c r="P101" s="26">
        <f ca="1">AVERAGEIF(O101:O399,"Before",Posts[[#This Row],[engagement rate]])</f>
        <v>9.4125664738819808</v>
      </c>
      <c r="Q101" s="26">
        <f t="shared" si="2"/>
        <v>7.7500945442794551</v>
      </c>
      <c r="R101" s="26">
        <f ca="1">Posts[[#This Row],[Avg. During]]-Posts[[#This Row],[Avg. Before]]/Posts[[#This Row],[Avg. Before]]</f>
        <v>6.7500945442794551</v>
      </c>
      <c r="S101" s="26">
        <v>10.579107786090331</v>
      </c>
    </row>
    <row r="102" spans="1:19">
      <c r="A102" s="29" t="s">
        <v>140</v>
      </c>
      <c r="B102" s="29" t="s">
        <v>27</v>
      </c>
      <c r="C102" s="38">
        <v>45577</v>
      </c>
      <c r="D102" s="29" t="s">
        <v>16</v>
      </c>
      <c r="E102" s="29" t="s">
        <v>40</v>
      </c>
      <c r="F102" s="14">
        <v>3169</v>
      </c>
      <c r="G102" s="14">
        <v>386</v>
      </c>
      <c r="H102" s="14">
        <v>175</v>
      </c>
      <c r="I102" s="14">
        <v>45012</v>
      </c>
      <c r="J102" s="14">
        <v>38508</v>
      </c>
      <c r="K102" s="14">
        <v>218</v>
      </c>
      <c r="L102" s="29" t="s">
        <v>19</v>
      </c>
      <c r="M102" s="29" t="s">
        <v>24</v>
      </c>
      <c r="N102" s="29" t="s">
        <v>20</v>
      </c>
      <c r="O102" s="29" t="str">
        <f>IF(AND(C102&gt;='Task 1.2'!$B$2,C102&lt;='Task 1.2'!$C$2),"During","Before")</f>
        <v>Before</v>
      </c>
      <c r="P102" s="26">
        <f ca="1">AVERAGEIF(O102:O400,"Before",Posts[[#This Row],[engagement rate]])</f>
        <v>9.4062947463969895</v>
      </c>
      <c r="Q102" s="26">
        <f t="shared" si="2"/>
        <v>8.3470859659123686</v>
      </c>
      <c r="R102" s="26">
        <f ca="1">Posts[[#This Row],[Avg. During]]-Posts[[#This Row],[Avg. Before]]/Posts[[#This Row],[Avg. Before]]</f>
        <v>7.3470859659123686</v>
      </c>
      <c r="S102" s="26">
        <v>8.7709944014929349</v>
      </c>
    </row>
    <row r="103" spans="1:19">
      <c r="A103" s="29" t="s">
        <v>141</v>
      </c>
      <c r="B103" s="29" t="s">
        <v>27</v>
      </c>
      <c r="C103" s="38">
        <v>45591</v>
      </c>
      <c r="D103" s="29" t="s">
        <v>16</v>
      </c>
      <c r="E103" s="29" t="s">
        <v>17</v>
      </c>
      <c r="F103" s="14">
        <v>3036</v>
      </c>
      <c r="G103" s="14">
        <v>293</v>
      </c>
      <c r="H103" s="14">
        <v>115</v>
      </c>
      <c r="I103" s="14">
        <v>23776</v>
      </c>
      <c r="J103" s="14">
        <v>46386</v>
      </c>
      <c r="K103" s="14">
        <v>282</v>
      </c>
      <c r="L103" s="29" t="s">
        <v>19</v>
      </c>
      <c r="M103" s="29" t="s">
        <v>24</v>
      </c>
      <c r="N103" s="29" t="s">
        <v>20</v>
      </c>
      <c r="O103" s="29" t="str">
        <f>IF(AND(C103&gt;='Task 1.2'!$B$2,C103&lt;='Task 1.2'!$C$2),"During","Before")</f>
        <v>Before</v>
      </c>
      <c r="P103" s="26">
        <f ca="1">AVERAGEIF(O103:O401,"Before",Posts[[#This Row],[engagement rate]])</f>
        <v>9.4097288023153869</v>
      </c>
      <c r="Q103" s="26">
        <f t="shared" si="2"/>
        <v>8.0042466539501529</v>
      </c>
      <c r="R103" s="26">
        <f ca="1">Posts[[#This Row],[Avg. During]]-Posts[[#This Row],[Avg. Before]]/Posts[[#This Row],[Avg. Before]]</f>
        <v>7.0042466539501529</v>
      </c>
      <c r="S103" s="26">
        <v>15.671265141318976</v>
      </c>
    </row>
    <row r="104" spans="1:19">
      <c r="A104" s="29" t="s">
        <v>142</v>
      </c>
      <c r="B104" s="29" t="s">
        <v>15</v>
      </c>
      <c r="C104" s="38">
        <v>45336</v>
      </c>
      <c r="D104" s="29" t="s">
        <v>16</v>
      </c>
      <c r="E104" s="29" t="s">
        <v>35</v>
      </c>
      <c r="F104" s="14">
        <v>1830</v>
      </c>
      <c r="G104" s="14">
        <v>112</v>
      </c>
      <c r="H104" s="14">
        <v>181</v>
      </c>
      <c r="I104" s="14">
        <v>31870</v>
      </c>
      <c r="J104" s="14">
        <v>55742</v>
      </c>
      <c r="K104" s="14">
        <v>263</v>
      </c>
      <c r="L104" s="29" t="s">
        <v>18</v>
      </c>
      <c r="M104" s="29" t="s">
        <v>19</v>
      </c>
      <c r="N104" s="29" t="s">
        <v>20</v>
      </c>
      <c r="O104" s="29" t="str">
        <f>IF(AND(C104&gt;='Task 1.2'!$B$2,C104&lt;='Task 1.2'!$C$2),"During","Before")</f>
        <v>Before</v>
      </c>
      <c r="P104" s="26">
        <f ca="1">AVERAGEIF(O104:O402,"Before",Posts[[#This Row],[engagement rate]])</f>
        <v>9.3756987135164565</v>
      </c>
      <c r="Q104" s="26">
        <f t="shared" si="2"/>
        <v>8.4598104435419863</v>
      </c>
      <c r="R104" s="26">
        <f ca="1">Posts[[#This Row],[Avg. During]]-Posts[[#This Row],[Avg. Before]]/Posts[[#This Row],[Avg. Before]]</f>
        <v>7.4598104435419863</v>
      </c>
      <c r="S104" s="26">
        <v>7.4866645748352685</v>
      </c>
    </row>
    <row r="105" spans="1:19">
      <c r="A105" s="29" t="s">
        <v>143</v>
      </c>
      <c r="B105" s="29" t="s">
        <v>27</v>
      </c>
      <c r="C105" s="38">
        <v>45413</v>
      </c>
      <c r="D105" s="29" t="s">
        <v>28</v>
      </c>
      <c r="E105" s="29" t="s">
        <v>38</v>
      </c>
      <c r="F105" s="14">
        <v>2587</v>
      </c>
      <c r="G105" s="14">
        <v>447</v>
      </c>
      <c r="H105" s="14">
        <v>183</v>
      </c>
      <c r="I105" s="14">
        <v>36266</v>
      </c>
      <c r="J105" s="14">
        <v>32877</v>
      </c>
      <c r="K105" s="14">
        <v>132</v>
      </c>
      <c r="L105" s="29" t="s">
        <v>23</v>
      </c>
      <c r="M105" s="29" t="s">
        <v>30</v>
      </c>
      <c r="N105" s="29" t="s">
        <v>20</v>
      </c>
      <c r="O105" s="29" t="str">
        <f>IF(AND(C105&gt;='Task 1.2'!$B$2,C105&lt;='Task 1.2'!$C$2),"During","Before")</f>
        <v>Before</v>
      </c>
      <c r="P105" s="26">
        <f ca="1">AVERAGEIF(O105:O403,"Before",Posts[[#This Row],[engagement rate]])</f>
        <v>9.3860213044382128</v>
      </c>
      <c r="Q105" s="26">
        <f t="shared" si="2"/>
        <v>11.581711711027326</v>
      </c>
      <c r="R105" s="26">
        <f ca="1">Posts[[#This Row],[Avg. During]]-Posts[[#This Row],[Avg. Before]]/Posts[[#This Row],[Avg. Before]]</f>
        <v>10.581711711027326</v>
      </c>
      <c r="S105" s="26">
        <v>9.234544752660895</v>
      </c>
    </row>
    <row r="106" spans="1:19">
      <c r="A106" s="29" t="s">
        <v>144</v>
      </c>
      <c r="B106" s="29" t="s">
        <v>27</v>
      </c>
      <c r="C106" s="38">
        <v>45553</v>
      </c>
      <c r="D106" s="29" t="s">
        <v>16</v>
      </c>
      <c r="E106" s="29" t="s">
        <v>17</v>
      </c>
      <c r="F106" s="14">
        <v>2878</v>
      </c>
      <c r="G106" s="14">
        <v>265</v>
      </c>
      <c r="H106" s="14">
        <v>91</v>
      </c>
      <c r="I106" s="14">
        <v>52090</v>
      </c>
      <c r="J106" s="14">
        <v>28924</v>
      </c>
      <c r="K106" s="14">
        <v>133</v>
      </c>
      <c r="L106" s="29" t="s">
        <v>19</v>
      </c>
      <c r="M106" s="29" t="s">
        <v>24</v>
      </c>
      <c r="N106" s="29" t="s">
        <v>20</v>
      </c>
      <c r="O106" s="29" t="str">
        <f>IF(AND(C106&gt;='Task 1.2'!$B$2,C106&lt;='Task 1.2'!$C$2),"During","Before")</f>
        <v>Before</v>
      </c>
      <c r="P106" s="26">
        <f ca="1">AVERAGEIF(O106:O404,"Before",Posts[[#This Row],[engagement rate]])</f>
        <v>9.3868535931842416</v>
      </c>
      <c r="Q106" s="26">
        <f t="shared" si="2"/>
        <v>10.909763042528121</v>
      </c>
      <c r="R106" s="26">
        <f ca="1">Posts[[#This Row],[Avg. During]]-Posts[[#This Row],[Avg. Before]]/Posts[[#This Row],[Avg. Before]]</f>
        <v>9.9097630425281213</v>
      </c>
      <c r="S106" s="26">
        <v>6.4638126319831066</v>
      </c>
    </row>
    <row r="107" spans="1:19">
      <c r="A107" s="29" t="s">
        <v>145</v>
      </c>
      <c r="B107" s="29" t="s">
        <v>27</v>
      </c>
      <c r="C107" s="38">
        <v>45677</v>
      </c>
      <c r="D107" s="29" t="s">
        <v>28</v>
      </c>
      <c r="E107" s="29" t="s">
        <v>29</v>
      </c>
      <c r="F107" s="14">
        <v>4619</v>
      </c>
      <c r="G107" s="14">
        <v>272</v>
      </c>
      <c r="H107" s="14">
        <v>57</v>
      </c>
      <c r="I107" s="14">
        <v>21334</v>
      </c>
      <c r="J107" s="14">
        <v>46292</v>
      </c>
      <c r="K107" s="14">
        <v>91</v>
      </c>
      <c r="L107" s="29" t="s">
        <v>18</v>
      </c>
      <c r="M107" s="29" t="s">
        <v>19</v>
      </c>
      <c r="N107" s="29" t="s">
        <v>20</v>
      </c>
      <c r="O107" s="29" t="str">
        <f>IF(AND(C107&gt;='Task 1.2'!$B$2,C107&lt;='Task 1.2'!$C$2),"During","Before")</f>
        <v>Before</v>
      </c>
      <c r="P107" s="26">
        <f ca="1">AVERAGEIF(O107:O405,"Before",Posts[[#This Row],[engagement rate]])</f>
        <v>9.4030029907599371</v>
      </c>
      <c r="Q107" s="26">
        <f t="shared" si="2"/>
        <v>10.20508104207099</v>
      </c>
      <c r="R107" s="26">
        <f ca="1">Posts[[#This Row],[Avg. During]]-Posts[[#This Row],[Avg. Before]]/Posts[[#This Row],[Avg. Before]]</f>
        <v>9.2050810420709901</v>
      </c>
      <c r="S107" s="26">
        <v>23.619574388300364</v>
      </c>
    </row>
    <row r="108" spans="1:19">
      <c r="A108" s="29" t="s">
        <v>146</v>
      </c>
      <c r="B108" s="29" t="s">
        <v>27</v>
      </c>
      <c r="C108" s="38">
        <v>45670</v>
      </c>
      <c r="D108" s="29" t="s">
        <v>16</v>
      </c>
      <c r="E108" s="29" t="s">
        <v>35</v>
      </c>
      <c r="F108" s="14">
        <v>4090</v>
      </c>
      <c r="G108" s="14">
        <v>209</v>
      </c>
      <c r="H108" s="14">
        <v>278</v>
      </c>
      <c r="I108" s="14">
        <v>52853</v>
      </c>
      <c r="J108" s="14">
        <v>57084</v>
      </c>
      <c r="K108" s="14">
        <v>102</v>
      </c>
      <c r="L108" s="29" t="s">
        <v>18</v>
      </c>
      <c r="M108" s="29" t="s">
        <v>24</v>
      </c>
      <c r="N108" s="29" t="s">
        <v>25</v>
      </c>
      <c r="O108" s="29" t="str">
        <f>IF(AND(C108&gt;='Task 1.2'!$B$2,C108&lt;='Task 1.2'!$C$2),"During","Before")</f>
        <v>Before</v>
      </c>
      <c r="P108" s="26">
        <f ca="1">AVERAGEIF(O108:O406,"Before",Posts[[#This Row],[engagement rate]])</f>
        <v>9.3240220385513819</v>
      </c>
      <c r="Q108" s="26">
        <f t="shared" si="2"/>
        <v>9.8524253490081097</v>
      </c>
      <c r="R108" s="26">
        <f ca="1">Posts[[#This Row],[Avg. During]]-Posts[[#This Row],[Avg. Before]]/Posts[[#This Row],[Avg. Before]]</f>
        <v>8.8524253490081097</v>
      </c>
      <c r="S108" s="26">
        <v>8.8528560346621763</v>
      </c>
    </row>
    <row r="109" spans="1:19">
      <c r="A109" s="29" t="s">
        <v>147</v>
      </c>
      <c r="B109" s="29" t="s">
        <v>34</v>
      </c>
      <c r="C109" s="38">
        <v>45542</v>
      </c>
      <c r="D109" s="29" t="s">
        <v>57</v>
      </c>
      <c r="E109" s="29" t="s">
        <v>35</v>
      </c>
      <c r="F109" s="14">
        <v>3882</v>
      </c>
      <c r="G109" s="14">
        <v>342</v>
      </c>
      <c r="H109" s="14">
        <v>374</v>
      </c>
      <c r="I109" s="14">
        <v>41991</v>
      </c>
      <c r="J109" s="14">
        <v>48554</v>
      </c>
      <c r="K109" s="14">
        <v>118</v>
      </c>
      <c r="L109" s="29" t="s">
        <v>23</v>
      </c>
      <c r="M109" s="29" t="s">
        <v>18</v>
      </c>
      <c r="N109" s="29" t="s">
        <v>58</v>
      </c>
      <c r="O109" s="29" t="str">
        <f>IF(AND(C109&gt;='Task 1.2'!$B$2,C109&lt;='Task 1.2'!$C$2),"During","Before")</f>
        <v>Before</v>
      </c>
      <c r="P109" s="26">
        <f ca="1">AVERAGEIF(O109:O407,"Before",Posts[[#This Row],[engagement rate]])</f>
        <v>9.3266542508636121</v>
      </c>
      <c r="Q109" s="26">
        <f t="shared" si="2"/>
        <v>10.368221662699339</v>
      </c>
      <c r="R109" s="26">
        <f ca="1">Posts[[#This Row],[Avg. During]]-Posts[[#This Row],[Avg. Before]]/Posts[[#This Row],[Avg. Before]]</f>
        <v>9.3682216626993391</v>
      </c>
      <c r="S109" s="26">
        <v>11.230978066728586</v>
      </c>
    </row>
    <row r="110" spans="1:19">
      <c r="A110" s="29" t="s">
        <v>148</v>
      </c>
      <c r="B110" s="29" t="s">
        <v>15</v>
      </c>
      <c r="C110" s="38">
        <v>45617</v>
      </c>
      <c r="D110" s="29" t="s">
        <v>16</v>
      </c>
      <c r="E110" s="29" t="s">
        <v>35</v>
      </c>
      <c r="F110" s="14">
        <v>4581</v>
      </c>
      <c r="G110" s="14">
        <v>181</v>
      </c>
      <c r="H110" s="14">
        <v>112</v>
      </c>
      <c r="I110" s="14">
        <v>35221</v>
      </c>
      <c r="J110" s="14">
        <v>28797</v>
      </c>
      <c r="K110" s="14">
        <v>164</v>
      </c>
      <c r="L110" s="29" t="s">
        <v>18</v>
      </c>
      <c r="M110" s="29" t="s">
        <v>19</v>
      </c>
      <c r="N110" s="29" t="s">
        <v>20</v>
      </c>
      <c r="O110" s="29" t="str">
        <f>IF(AND(C110&gt;='Task 1.2'!$B$2,C110&lt;='Task 1.2'!$C$2),"During","Before")</f>
        <v>Before</v>
      </c>
      <c r="P110" s="26">
        <f ca="1">AVERAGEIF(O110:O408,"Before",Posts[[#This Row],[engagement rate]])</f>
        <v>9.3159558024598752</v>
      </c>
      <c r="Q110" s="26">
        <f t="shared" si="2"/>
        <v>8.4156608756201212</v>
      </c>
      <c r="R110" s="26">
        <f ca="1">Posts[[#This Row],[Avg. During]]-Posts[[#This Row],[Avg. Before]]/Posts[[#This Row],[Avg. Before]]</f>
        <v>7.4156608756201212</v>
      </c>
      <c r="S110" s="26">
        <v>14.303966383691547</v>
      </c>
    </row>
    <row r="111" spans="1:19">
      <c r="A111" s="29" t="s">
        <v>149</v>
      </c>
      <c r="B111" s="29" t="s">
        <v>15</v>
      </c>
      <c r="C111" s="38">
        <v>45469</v>
      </c>
      <c r="D111" s="29" t="s">
        <v>16</v>
      </c>
      <c r="E111" s="29" t="s">
        <v>29</v>
      </c>
      <c r="F111" s="14">
        <v>3253</v>
      </c>
      <c r="G111" s="14">
        <v>483</v>
      </c>
      <c r="H111" s="14">
        <v>336</v>
      </c>
      <c r="I111" s="14">
        <v>25397</v>
      </c>
      <c r="J111" s="14">
        <v>51485</v>
      </c>
      <c r="K111" s="14">
        <v>131</v>
      </c>
      <c r="L111" s="29" t="s">
        <v>23</v>
      </c>
      <c r="M111" s="29" t="s">
        <v>24</v>
      </c>
      <c r="N111" s="29" t="s">
        <v>25</v>
      </c>
      <c r="O111" s="29" t="str">
        <f>IF(AND(C111&gt;='Task 1.2'!$B$2,C111&lt;='Task 1.2'!$C$2),"During","Before")</f>
        <v>During</v>
      </c>
      <c r="P111" s="26">
        <f ca="1">AVERAGEIF(O111:O409,"Before",Posts[[#This Row],[engagement rate]])</f>
        <v>9.2877749517184558</v>
      </c>
      <c r="Q111" s="26">
        <f t="shared" si="2"/>
        <v>8.894908863055317</v>
      </c>
      <c r="R111" s="26">
        <f ca="1">Posts[[#This Row],[Avg. During]]-Posts[[#This Row],[Avg. Before]]/Posts[[#This Row],[Avg. Before]]</f>
        <v>7.894908863055317</v>
      </c>
      <c r="S111" s="26">
        <v>16.549198724258769</v>
      </c>
    </row>
    <row r="112" spans="1:19">
      <c r="A112" s="29" t="s">
        <v>150</v>
      </c>
      <c r="B112" s="29" t="s">
        <v>34</v>
      </c>
      <c r="C112" s="38">
        <v>45493</v>
      </c>
      <c r="D112" s="29" t="s">
        <v>57</v>
      </c>
      <c r="E112" s="29" t="s">
        <v>35</v>
      </c>
      <c r="F112" s="14">
        <v>4955</v>
      </c>
      <c r="G112" s="14">
        <v>299</v>
      </c>
      <c r="H112" s="14">
        <v>345</v>
      </c>
      <c r="I112" s="14">
        <v>33644</v>
      </c>
      <c r="J112" s="14">
        <v>43547</v>
      </c>
      <c r="K112" s="14">
        <v>194</v>
      </c>
      <c r="L112" s="29" t="s">
        <v>23</v>
      </c>
      <c r="M112" s="29" t="s">
        <v>18</v>
      </c>
      <c r="N112" s="29" t="s">
        <v>58</v>
      </c>
      <c r="O112" s="29" t="str">
        <f>IF(AND(C112&gt;='Task 1.2'!$B$2,C112&lt;='Task 1.2'!$C$2),"During","Before")</f>
        <v>Before</v>
      </c>
      <c r="P112" s="26">
        <f ca="1">AVERAGEIF(O112:O410,"Before",Posts[[#This Row],[engagement rate]])</f>
        <v>9.2877749517184558</v>
      </c>
      <c r="Q112" s="26">
        <f t="shared" si="2"/>
        <v>9.9058563491749361</v>
      </c>
      <c r="R112" s="26">
        <f ca="1">Posts[[#This Row],[Avg. During]]-Posts[[#This Row],[Avg. Before]]/Posts[[#This Row],[Avg. Before]]</f>
        <v>8.9058563491749361</v>
      </c>
      <c r="S112" s="26">
        <v>17.218523362263703</v>
      </c>
    </row>
    <row r="113" spans="1:19">
      <c r="A113" s="29" t="s">
        <v>151</v>
      </c>
      <c r="B113" s="29" t="s">
        <v>15</v>
      </c>
      <c r="C113" s="38">
        <v>45704</v>
      </c>
      <c r="D113" s="29" t="s">
        <v>16</v>
      </c>
      <c r="E113" s="29" t="s">
        <v>51</v>
      </c>
      <c r="F113" s="14">
        <v>1333</v>
      </c>
      <c r="G113" s="14">
        <v>286</v>
      </c>
      <c r="H113" s="14">
        <v>298</v>
      </c>
      <c r="I113" s="14">
        <v>36174</v>
      </c>
      <c r="J113" s="14">
        <v>34517</v>
      </c>
      <c r="K113" s="14">
        <v>170</v>
      </c>
      <c r="L113" s="29" t="s">
        <v>18</v>
      </c>
      <c r="M113" s="29" t="s">
        <v>19</v>
      </c>
      <c r="N113" s="29" t="s">
        <v>20</v>
      </c>
      <c r="O113" s="29" t="str">
        <f>IF(AND(C113&gt;='Task 1.2'!$B$2,C113&lt;='Task 1.2'!$C$2),"During","Before")</f>
        <v>Before</v>
      </c>
      <c r="P113" s="26">
        <f ca="1">AVERAGEIF(O113:O411,"Before",Posts[[#This Row],[engagement rate]])</f>
        <v>9.2427138812039953</v>
      </c>
      <c r="Q113" s="26">
        <f t="shared" si="2"/>
        <v>9.4628373731063622</v>
      </c>
      <c r="R113" s="26">
        <f ca="1">Posts[[#This Row],[Avg. During]]-Posts[[#This Row],[Avg. Before]]/Posts[[#This Row],[Avg. Before]]</f>
        <v>8.4628373731063622</v>
      </c>
      <c r="S113" s="26">
        <v>5.7693370929396801</v>
      </c>
    </row>
    <row r="114" spans="1:19">
      <c r="A114" s="29" t="s">
        <v>152</v>
      </c>
      <c r="B114" s="29" t="s">
        <v>15</v>
      </c>
      <c r="C114" s="38">
        <v>45544</v>
      </c>
      <c r="D114" s="29" t="s">
        <v>16</v>
      </c>
      <c r="E114" s="29" t="s">
        <v>29</v>
      </c>
      <c r="F114" s="14">
        <v>1616</v>
      </c>
      <c r="G114" s="14">
        <v>360</v>
      </c>
      <c r="H114" s="14">
        <v>180</v>
      </c>
      <c r="I114" s="14">
        <v>54342</v>
      </c>
      <c r="J114" s="14">
        <v>18796</v>
      </c>
      <c r="K114" s="14">
        <v>282</v>
      </c>
      <c r="L114" s="29" t="s">
        <v>18</v>
      </c>
      <c r="M114" s="29" t="s">
        <v>19</v>
      </c>
      <c r="N114" s="29" t="s">
        <v>20</v>
      </c>
      <c r="O114" s="29" t="str">
        <f>IF(AND(C114&gt;='Task 1.2'!$B$2,C114&lt;='Task 1.2'!$C$2),"During","Before")</f>
        <v>Before</v>
      </c>
      <c r="P114" s="26">
        <f ca="1">AVERAGEIF(O114:O412,"Before",Posts[[#This Row],[engagement rate]])</f>
        <v>9.2625617485655027</v>
      </c>
      <c r="Q114" s="26">
        <f t="shared" si="2"/>
        <v>9.6101426923811744</v>
      </c>
      <c r="R114" s="26">
        <f ca="1">Posts[[#This Row],[Avg. During]]-Posts[[#This Row],[Avg. Before]]/Posts[[#This Row],[Avg. Before]]</f>
        <v>8.6101426923811744</v>
      </c>
      <c r="S114" s="26">
        <v>4.4864009421810023</v>
      </c>
    </row>
    <row r="115" spans="1:19">
      <c r="A115" s="29" t="s">
        <v>153</v>
      </c>
      <c r="B115" s="29" t="s">
        <v>27</v>
      </c>
      <c r="C115" s="38">
        <v>45489</v>
      </c>
      <c r="D115" s="29" t="s">
        <v>16</v>
      </c>
      <c r="E115" s="29" t="s">
        <v>43</v>
      </c>
      <c r="F115" s="14">
        <v>1803</v>
      </c>
      <c r="G115" s="14">
        <v>273</v>
      </c>
      <c r="H115" s="14">
        <v>287</v>
      </c>
      <c r="I115" s="14">
        <v>46176</v>
      </c>
      <c r="J115" s="14">
        <v>25488</v>
      </c>
      <c r="K115" s="14">
        <v>141</v>
      </c>
      <c r="L115" s="29" t="s">
        <v>19</v>
      </c>
      <c r="M115" s="29" t="s">
        <v>24</v>
      </c>
      <c r="N115" s="29" t="s">
        <v>20</v>
      </c>
      <c r="O115" s="29" t="str">
        <f>IF(AND(C115&gt;='Task 1.2'!$B$2,C115&lt;='Task 1.2'!$C$2),"During","Before")</f>
        <v>Before</v>
      </c>
      <c r="P115" s="26">
        <f ca="1">AVERAGEIF(O115:O413,"Before",Posts[[#This Row],[engagement rate]])</f>
        <v>9.2900109486021964</v>
      </c>
      <c r="Q115" s="26">
        <f t="shared" si="2"/>
        <v>8.397059332633356</v>
      </c>
      <c r="R115" s="26">
        <f ca="1">Posts[[#This Row],[Avg. During]]-Posts[[#This Row],[Avg. Before]]/Posts[[#This Row],[Avg. Before]]</f>
        <v>7.397059332633356</v>
      </c>
      <c r="S115" s="26">
        <v>5.4227304227304227</v>
      </c>
    </row>
    <row r="116" spans="1:19">
      <c r="A116" s="29" t="s">
        <v>154</v>
      </c>
      <c r="B116" s="29" t="s">
        <v>15</v>
      </c>
      <c r="C116" s="38">
        <v>45762</v>
      </c>
      <c r="D116" s="29" t="s">
        <v>16</v>
      </c>
      <c r="E116" s="29" t="s">
        <v>22</v>
      </c>
      <c r="F116" s="14">
        <v>4177</v>
      </c>
      <c r="G116" s="14">
        <v>489</v>
      </c>
      <c r="H116" s="14">
        <v>331</v>
      </c>
      <c r="I116" s="14">
        <v>57451</v>
      </c>
      <c r="J116" s="14">
        <v>73793</v>
      </c>
      <c r="K116" s="14">
        <v>251</v>
      </c>
      <c r="L116" s="29" t="s">
        <v>23</v>
      </c>
      <c r="M116" s="29" t="s">
        <v>24</v>
      </c>
      <c r="N116" s="29" t="s">
        <v>25</v>
      </c>
      <c r="O116" s="29" t="str">
        <f>IF(AND(C116&gt;='Task 1.2'!$B$2,C116&lt;='Task 1.2'!$C$2),"During","Before")</f>
        <v>Before</v>
      </c>
      <c r="P116" s="26">
        <f ca="1">AVERAGEIF(O116:O414,"Before",Posts[[#This Row],[engagement rate]])</f>
        <v>9.3123651712950952</v>
      </c>
      <c r="Q116" s="26">
        <f t="shared" si="2"/>
        <v>10.384846819296596</v>
      </c>
      <c r="R116" s="26">
        <f ca="1">Posts[[#This Row],[Avg. During]]-Posts[[#This Row],[Avg. Before]]/Posts[[#This Row],[Avg. Before]]</f>
        <v>9.3848468192965964</v>
      </c>
      <c r="S116" s="26">
        <v>9.1347409096447407</v>
      </c>
    </row>
    <row r="117" spans="1:19">
      <c r="A117" s="29" t="s">
        <v>155</v>
      </c>
      <c r="B117" s="29" t="s">
        <v>15</v>
      </c>
      <c r="C117" s="38">
        <v>45781</v>
      </c>
      <c r="D117" s="29" t="s">
        <v>28</v>
      </c>
      <c r="E117" s="29" t="s">
        <v>29</v>
      </c>
      <c r="F117" s="14">
        <v>1311</v>
      </c>
      <c r="G117" s="14">
        <v>181</v>
      </c>
      <c r="H117" s="14">
        <v>361</v>
      </c>
      <c r="I117" s="14">
        <v>37148</v>
      </c>
      <c r="J117" s="14">
        <v>44875</v>
      </c>
      <c r="K117" s="14">
        <v>245</v>
      </c>
      <c r="L117" s="29" t="s">
        <v>19</v>
      </c>
      <c r="M117" s="29" t="s">
        <v>24</v>
      </c>
      <c r="N117" s="29" t="s">
        <v>55</v>
      </c>
      <c r="O117" s="29" t="str">
        <f>IF(AND(C117&gt;='Task 1.2'!$B$2,C117&lt;='Task 1.2'!$C$2),"During","Before")</f>
        <v>Before</v>
      </c>
      <c r="P117" s="26">
        <f ca="1">AVERAGEIF(O117:O415,"Before",Posts[[#This Row],[engagement rate]])</f>
        <v>9.3133978704907374</v>
      </c>
      <c r="Q117" s="26">
        <f t="shared" si="2"/>
        <v>7.1149708947648378</v>
      </c>
      <c r="R117" s="26">
        <f ca="1">Posts[[#This Row],[Avg. During]]-Posts[[#This Row],[Avg. Before]]/Posts[[#This Row],[Avg. Before]]</f>
        <v>6.1149708947648378</v>
      </c>
      <c r="S117" s="26">
        <v>5.647679552062022</v>
      </c>
    </row>
    <row r="118" spans="1:19">
      <c r="A118" s="29" t="s">
        <v>156</v>
      </c>
      <c r="B118" s="29" t="s">
        <v>15</v>
      </c>
      <c r="C118" s="38">
        <v>45340</v>
      </c>
      <c r="D118" s="29" t="s">
        <v>28</v>
      </c>
      <c r="E118" s="29" t="s">
        <v>49</v>
      </c>
      <c r="F118" s="14">
        <v>1516</v>
      </c>
      <c r="G118" s="14">
        <v>215</v>
      </c>
      <c r="H118" s="14">
        <v>332</v>
      </c>
      <c r="I118" s="14">
        <v>58981</v>
      </c>
      <c r="J118" s="14">
        <v>36118</v>
      </c>
      <c r="K118" s="14">
        <v>211</v>
      </c>
      <c r="L118" s="29" t="s">
        <v>19</v>
      </c>
      <c r="M118" s="29" t="s">
        <v>24</v>
      </c>
      <c r="N118" s="29" t="s">
        <v>55</v>
      </c>
      <c r="O118" s="29" t="str">
        <f>IF(AND(C118&gt;='Task 1.2'!$B$2,C118&lt;='Task 1.2'!$C$2),"During","Before")</f>
        <v>Before</v>
      </c>
      <c r="P118" s="26">
        <f ca="1">AVERAGEIF(O118:O416,"Before",Posts[[#This Row],[engagement rate]])</f>
        <v>9.3348348197213138</v>
      </c>
      <c r="Q118" s="26">
        <f t="shared" si="2"/>
        <v>11.282737453589345</v>
      </c>
      <c r="R118" s="26">
        <f ca="1">Posts[[#This Row],[Avg. During]]-Posts[[#This Row],[Avg. Before]]/Posts[[#This Row],[Avg. Before]]</f>
        <v>10.282737453589345</v>
      </c>
      <c r="S118" s="26">
        <v>3.8554788830301288</v>
      </c>
    </row>
    <row r="119" spans="1:19">
      <c r="A119" s="29" t="s">
        <v>157</v>
      </c>
      <c r="B119" s="29" t="s">
        <v>27</v>
      </c>
      <c r="C119" s="38">
        <v>45428</v>
      </c>
      <c r="D119" s="29" t="s">
        <v>28</v>
      </c>
      <c r="E119" s="29" t="s">
        <v>35</v>
      </c>
      <c r="F119" s="14">
        <v>2023</v>
      </c>
      <c r="G119" s="14">
        <v>124</v>
      </c>
      <c r="H119" s="14">
        <v>99</v>
      </c>
      <c r="I119" s="14">
        <v>54524</v>
      </c>
      <c r="J119" s="14">
        <v>34790</v>
      </c>
      <c r="K119" s="14">
        <v>195</v>
      </c>
      <c r="L119" s="29" t="s">
        <v>23</v>
      </c>
      <c r="M119" s="29" t="s">
        <v>30</v>
      </c>
      <c r="N119" s="29" t="s">
        <v>20</v>
      </c>
      <c r="O119" s="29" t="str">
        <f>IF(AND(C119&gt;='Task 1.2'!$B$2,C119&lt;='Task 1.2'!$C$2),"During","Before")</f>
        <v>Before</v>
      </c>
      <c r="P119" s="26">
        <f ca="1">AVERAGEIF(O119:O417,"Before",Posts[[#This Row],[engagement rate]])</f>
        <v>9.3670663252312618</v>
      </c>
      <c r="Q119" s="26">
        <f t="shared" si="2"/>
        <v>11.331450177009771</v>
      </c>
      <c r="R119" s="26">
        <f ca="1">Posts[[#This Row],[Avg. During]]-Posts[[#This Row],[Avg. Before]]/Posts[[#This Row],[Avg. Before]]</f>
        <v>10.331450177009771</v>
      </c>
      <c r="S119" s="26">
        <v>4.4769275915193312</v>
      </c>
    </row>
    <row r="120" spans="1:19">
      <c r="A120" s="29" t="s">
        <v>158</v>
      </c>
      <c r="B120" s="29" t="s">
        <v>27</v>
      </c>
      <c r="C120" s="38">
        <v>45806</v>
      </c>
      <c r="D120" s="29" t="s">
        <v>28</v>
      </c>
      <c r="E120" s="29" t="s">
        <v>35</v>
      </c>
      <c r="F120" s="14">
        <v>2134</v>
      </c>
      <c r="G120" s="14">
        <v>322</v>
      </c>
      <c r="H120" s="14">
        <v>114</v>
      </c>
      <c r="I120" s="14">
        <v>44338</v>
      </c>
      <c r="J120" s="14">
        <v>52165</v>
      </c>
      <c r="K120" s="14">
        <v>176</v>
      </c>
      <c r="L120" s="29" t="s">
        <v>30</v>
      </c>
      <c r="M120" s="29" t="s">
        <v>19</v>
      </c>
      <c r="N120" s="29" t="s">
        <v>20</v>
      </c>
      <c r="O120" s="29" t="str">
        <f>IF(AND(C120&gt;='Task 1.2'!$B$2,C120&lt;='Task 1.2'!$C$2),"During","Before")</f>
        <v>Before</v>
      </c>
      <c r="P120" s="26">
        <f ca="1">AVERAGEIF(O120:O418,"Before",Posts[[#This Row],[engagement rate]])</f>
        <v>9.396002057383404</v>
      </c>
      <c r="Q120" s="26">
        <f t="shared" si="2"/>
        <v>7.1874507609522631</v>
      </c>
      <c r="R120" s="26">
        <f ca="1">Posts[[#This Row],[Avg. During]]-Posts[[#This Row],[Avg. Before]]/Posts[[#This Row],[Avg. Before]]</f>
        <v>6.1874507609522631</v>
      </c>
      <c r="S120" s="26">
        <v>6.1933330326131086</v>
      </c>
    </row>
    <row r="121" spans="1:19">
      <c r="A121" s="29" t="s">
        <v>159</v>
      </c>
      <c r="B121" s="29" t="s">
        <v>15</v>
      </c>
      <c r="C121" s="38">
        <v>45674</v>
      </c>
      <c r="D121" s="29" t="s">
        <v>16</v>
      </c>
      <c r="E121" s="29" t="s">
        <v>43</v>
      </c>
      <c r="F121" s="14">
        <v>2266</v>
      </c>
      <c r="G121" s="14">
        <v>126</v>
      </c>
      <c r="H121" s="14">
        <v>140</v>
      </c>
      <c r="I121" s="14">
        <v>53759</v>
      </c>
      <c r="J121" s="14">
        <v>46834</v>
      </c>
      <c r="K121" s="14">
        <v>277</v>
      </c>
      <c r="L121" s="29" t="s">
        <v>23</v>
      </c>
      <c r="M121" s="29" t="s">
        <v>24</v>
      </c>
      <c r="N121" s="29" t="s">
        <v>25</v>
      </c>
      <c r="O121" s="29" t="str">
        <f>IF(AND(C121&gt;='Task 1.2'!$B$2,C121&lt;='Task 1.2'!$C$2),"During","Before")</f>
        <v>Before</v>
      </c>
      <c r="P121" s="26">
        <f ca="1">AVERAGEIF(O121:O419,"Before",Posts[[#This Row],[engagement rate]])</f>
        <v>9.4150655634832301</v>
      </c>
      <c r="Q121" s="26">
        <f t="shared" si="2"/>
        <v>9.0620453688226341</v>
      </c>
      <c r="R121" s="26">
        <f ca="1">Posts[[#This Row],[Avg. During]]-Posts[[#This Row],[Avg. Before]]/Posts[[#This Row],[Avg. Before]]</f>
        <v>8.0620453688226341</v>
      </c>
      <c r="S121" s="26">
        <v>5.2251715991740912</v>
      </c>
    </row>
    <row r="122" spans="1:19">
      <c r="A122" s="29" t="s">
        <v>160</v>
      </c>
      <c r="B122" s="29" t="s">
        <v>15</v>
      </c>
      <c r="C122" s="38">
        <v>45777</v>
      </c>
      <c r="D122" s="29" t="s">
        <v>28</v>
      </c>
      <c r="E122" s="29" t="s">
        <v>29</v>
      </c>
      <c r="F122" s="14">
        <v>3916</v>
      </c>
      <c r="G122" s="14">
        <v>459</v>
      </c>
      <c r="H122" s="14">
        <v>229</v>
      </c>
      <c r="I122" s="14">
        <v>48989</v>
      </c>
      <c r="J122" s="14">
        <v>39768</v>
      </c>
      <c r="K122" s="14">
        <v>200</v>
      </c>
      <c r="L122" s="29" t="s">
        <v>19</v>
      </c>
      <c r="M122" s="29" t="s">
        <v>24</v>
      </c>
      <c r="N122" s="29" t="s">
        <v>55</v>
      </c>
      <c r="O122" s="29" t="str">
        <f>IF(AND(C122&gt;='Task 1.2'!$B$2,C122&lt;='Task 1.2'!$C$2),"During","Before")</f>
        <v>Before</v>
      </c>
      <c r="P122" s="26">
        <f ca="1">AVERAGEIF(O122:O420,"Before",Posts[[#This Row],[engagement rate]])</f>
        <v>9.4401547488982533</v>
      </c>
      <c r="Q122" s="26">
        <f t="shared" si="2"/>
        <v>10.161844321750634</v>
      </c>
      <c r="R122" s="26">
        <f ca="1">Posts[[#This Row],[Avg. During]]-Posts[[#This Row],[Avg. Before]]/Posts[[#This Row],[Avg. Before]]</f>
        <v>9.1618443217506336</v>
      </c>
      <c r="S122" s="26">
        <v>9.8062830431321313</v>
      </c>
    </row>
    <row r="123" spans="1:19">
      <c r="A123" s="29" t="s">
        <v>161</v>
      </c>
      <c r="B123" s="29" t="s">
        <v>27</v>
      </c>
      <c r="C123" s="38">
        <v>45346</v>
      </c>
      <c r="D123" s="29" t="s">
        <v>28</v>
      </c>
      <c r="E123" s="29" t="s">
        <v>35</v>
      </c>
      <c r="F123" s="14">
        <v>1022</v>
      </c>
      <c r="G123" s="14">
        <v>463</v>
      </c>
      <c r="H123" s="14">
        <v>360</v>
      </c>
      <c r="I123" s="14">
        <v>51468</v>
      </c>
      <c r="J123" s="14">
        <v>24279</v>
      </c>
      <c r="K123" s="14">
        <v>230</v>
      </c>
      <c r="L123" s="29" t="s">
        <v>23</v>
      </c>
      <c r="M123" s="29" t="s">
        <v>30</v>
      </c>
      <c r="N123" s="29" t="s">
        <v>20</v>
      </c>
      <c r="O123" s="29" t="str">
        <f>IF(AND(C123&gt;='Task 1.2'!$B$2,C123&lt;='Task 1.2'!$C$2),"During","Before")</f>
        <v>Before</v>
      </c>
      <c r="P123" s="26">
        <f ca="1">AVERAGEIF(O123:O421,"Before",Posts[[#This Row],[engagement rate]])</f>
        <v>9.4379491567643132</v>
      </c>
      <c r="Q123" s="26">
        <f t="shared" si="2"/>
        <v>7.1627053809993662</v>
      </c>
      <c r="R123" s="26">
        <f ca="1">Posts[[#This Row],[Avg. During]]-Posts[[#This Row],[Avg. Before]]/Posts[[#This Row],[Avg. Before]]</f>
        <v>6.1627053809993662</v>
      </c>
      <c r="S123" s="26">
        <v>4.0316313048884744</v>
      </c>
    </row>
    <row r="124" spans="1:19">
      <c r="A124" s="29" t="s">
        <v>162</v>
      </c>
      <c r="B124" s="29" t="s">
        <v>34</v>
      </c>
      <c r="C124" s="38">
        <v>45424</v>
      </c>
      <c r="D124" s="29" t="s">
        <v>16</v>
      </c>
      <c r="E124" s="29" t="s">
        <v>49</v>
      </c>
      <c r="F124" s="14">
        <v>2911</v>
      </c>
      <c r="G124" s="14">
        <v>467</v>
      </c>
      <c r="H124" s="14">
        <v>94</v>
      </c>
      <c r="I124" s="14">
        <v>59083</v>
      </c>
      <c r="J124" s="14">
        <v>49762</v>
      </c>
      <c r="K124" s="14">
        <v>236</v>
      </c>
      <c r="L124" s="29" t="s">
        <v>23</v>
      </c>
      <c r="M124" s="29" t="s">
        <v>36</v>
      </c>
      <c r="N124" s="29" t="s">
        <v>25</v>
      </c>
      <c r="O124" s="29" t="str">
        <f>IF(AND(C124&gt;='Task 1.2'!$B$2,C124&lt;='Task 1.2'!$C$2),"During","Before")</f>
        <v>Before</v>
      </c>
      <c r="P124" s="26">
        <f ca="1">AVERAGEIF(O124:O422,"Before",Posts[[#This Row],[engagement rate]])</f>
        <v>9.470714719502956</v>
      </c>
      <c r="Q124" s="26">
        <f t="shared" si="2"/>
        <v>9.6534117427300306</v>
      </c>
      <c r="R124" s="26">
        <f ca="1">Posts[[#This Row],[Avg. During]]-Posts[[#This Row],[Avg. Before]]/Posts[[#This Row],[Avg. Before]]</f>
        <v>8.6534117427300306</v>
      </c>
      <c r="S124" s="26">
        <v>6.2759169304199185</v>
      </c>
    </row>
    <row r="125" spans="1:19">
      <c r="A125" s="29" t="s">
        <v>163</v>
      </c>
      <c r="B125" s="29" t="s">
        <v>27</v>
      </c>
      <c r="C125" s="38">
        <v>45421</v>
      </c>
      <c r="D125" s="29" t="s">
        <v>28</v>
      </c>
      <c r="E125" s="29" t="s">
        <v>29</v>
      </c>
      <c r="F125" s="14">
        <v>3277</v>
      </c>
      <c r="G125" s="14">
        <v>423</v>
      </c>
      <c r="H125" s="14">
        <v>259</v>
      </c>
      <c r="I125" s="14">
        <v>46328</v>
      </c>
      <c r="J125" s="14">
        <v>44293</v>
      </c>
      <c r="K125" s="14">
        <v>299</v>
      </c>
      <c r="L125" s="29" t="s">
        <v>18</v>
      </c>
      <c r="M125" s="29" t="s">
        <v>19</v>
      </c>
      <c r="N125" s="29" t="s">
        <v>20</v>
      </c>
      <c r="O125" s="29" t="str">
        <f>IF(AND(C125&gt;='Task 1.2'!$B$2,C125&lt;='Task 1.2'!$C$2),"During","Before")</f>
        <v>Before</v>
      </c>
      <c r="P125" s="26">
        <f ca="1">AVERAGEIF(O125:O423,"Before",Posts[[#This Row],[engagement rate]])</f>
        <v>9.4901951938266329</v>
      </c>
      <c r="Q125" s="26">
        <f t="shared" si="2"/>
        <v>12.25088705209113</v>
      </c>
      <c r="R125" s="26">
        <f ca="1">Posts[[#This Row],[Avg. During]]-Posts[[#This Row],[Avg. Before]]/Posts[[#This Row],[Avg. Before]]</f>
        <v>11.25088705209113</v>
      </c>
      <c r="S125" s="26">
        <v>9.1909860127784491</v>
      </c>
    </row>
    <row r="126" spans="1:19">
      <c r="A126" s="29" t="s">
        <v>164</v>
      </c>
      <c r="B126" s="29" t="s">
        <v>27</v>
      </c>
      <c r="C126" s="38">
        <v>45602</v>
      </c>
      <c r="D126" s="29" t="s">
        <v>16</v>
      </c>
      <c r="E126" s="29" t="s">
        <v>49</v>
      </c>
      <c r="F126" s="14">
        <v>2956</v>
      </c>
      <c r="G126" s="14">
        <v>381</v>
      </c>
      <c r="H126" s="14">
        <v>345</v>
      </c>
      <c r="I126" s="14">
        <v>33347</v>
      </c>
      <c r="J126" s="14">
        <v>22558</v>
      </c>
      <c r="K126" s="14">
        <v>173</v>
      </c>
      <c r="L126" s="29" t="s">
        <v>19</v>
      </c>
      <c r="M126" s="29" t="s">
        <v>24</v>
      </c>
      <c r="N126" s="29" t="s">
        <v>20</v>
      </c>
      <c r="O126" s="29" t="str">
        <f>IF(AND(C126&gt;='Task 1.2'!$B$2,C126&lt;='Task 1.2'!$C$2),"During","Before")</f>
        <v>Before</v>
      </c>
      <c r="P126" s="26">
        <f ca="1">AVERAGEIF(O126:O424,"Before",Posts[[#This Row],[engagement rate]])</f>
        <v>9.4920308329741676</v>
      </c>
      <c r="Q126" s="26">
        <f t="shared" si="2"/>
        <v>9.5687530157396736</v>
      </c>
      <c r="R126" s="26">
        <f ca="1">Posts[[#This Row],[Avg. During]]-Posts[[#This Row],[Avg. Before]]/Posts[[#This Row],[Avg. Before]]</f>
        <v>8.5687530157396736</v>
      </c>
      <c r="S126" s="26">
        <v>11.560260293279754</v>
      </c>
    </row>
    <row r="127" spans="1:19">
      <c r="A127" s="29" t="s">
        <v>165</v>
      </c>
      <c r="B127" s="29" t="s">
        <v>27</v>
      </c>
      <c r="C127" s="38">
        <v>45295</v>
      </c>
      <c r="D127" s="29" t="s">
        <v>28</v>
      </c>
      <c r="E127" s="29" t="s">
        <v>38</v>
      </c>
      <c r="F127" s="14">
        <v>3208</v>
      </c>
      <c r="G127" s="14">
        <v>476</v>
      </c>
      <c r="H127" s="14">
        <v>277</v>
      </c>
      <c r="I127" s="14">
        <v>56072</v>
      </c>
      <c r="J127" s="14">
        <v>21061</v>
      </c>
      <c r="K127" s="14">
        <v>113</v>
      </c>
      <c r="L127" s="29" t="s">
        <v>30</v>
      </c>
      <c r="M127" s="29" t="s">
        <v>19</v>
      </c>
      <c r="N127" s="29" t="s">
        <v>20</v>
      </c>
      <c r="O127" s="29" t="str">
        <f>IF(AND(C127&gt;='Task 1.2'!$B$2,C127&lt;='Task 1.2'!$C$2),"During","Before")</f>
        <v>Before</v>
      </c>
      <c r="P127" s="26">
        <f ca="1">AVERAGEIF(O127:O425,"Before",Posts[[#This Row],[engagement rate]])</f>
        <v>9.4792639844537607</v>
      </c>
      <c r="Q127" s="26">
        <f t="shared" si="2"/>
        <v>9.4099070775377758</v>
      </c>
      <c r="R127" s="26">
        <f ca="1">Posts[[#This Row],[Avg. During]]-Posts[[#This Row],[Avg. Before]]/Posts[[#This Row],[Avg. Before]]</f>
        <v>8.4099070775377758</v>
      </c>
      <c r="S127" s="26">
        <v>7.2656584391496652</v>
      </c>
    </row>
    <row r="128" spans="1:19">
      <c r="A128" s="29" t="s">
        <v>166</v>
      </c>
      <c r="B128" s="29" t="s">
        <v>27</v>
      </c>
      <c r="C128" s="38">
        <v>45319</v>
      </c>
      <c r="D128" s="29" t="s">
        <v>16</v>
      </c>
      <c r="E128" s="29" t="s">
        <v>35</v>
      </c>
      <c r="F128" s="14">
        <v>1456</v>
      </c>
      <c r="G128" s="14">
        <v>265</v>
      </c>
      <c r="H128" s="14">
        <v>137</v>
      </c>
      <c r="I128" s="14">
        <v>53485</v>
      </c>
      <c r="J128" s="14">
        <v>59729</v>
      </c>
      <c r="K128" s="14">
        <v>145</v>
      </c>
      <c r="L128" s="29" t="s">
        <v>18</v>
      </c>
      <c r="M128" s="29" t="s">
        <v>24</v>
      </c>
      <c r="N128" s="29" t="s">
        <v>25</v>
      </c>
      <c r="O128" s="29" t="str">
        <f>IF(AND(C128&gt;='Task 1.2'!$B$2,C128&lt;='Task 1.2'!$C$2),"During","Before")</f>
        <v>Before</v>
      </c>
      <c r="P128" s="26">
        <f ca="1">AVERAGEIF(O128:O426,"Before",Posts[[#This Row],[engagement rate]])</f>
        <v>9.4930130872196248</v>
      </c>
      <c r="Q128" s="26">
        <f t="shared" si="2"/>
        <v>10.377988007824456</v>
      </c>
      <c r="R128" s="26">
        <f ca="1">Posts[[#This Row],[Avg. During]]-Posts[[#This Row],[Avg. Before]]/Posts[[#This Row],[Avg. Before]]</f>
        <v>9.377988007824456</v>
      </c>
      <c r="S128" s="26">
        <v>3.7449752266990743</v>
      </c>
    </row>
    <row r="129" spans="1:19">
      <c r="A129" s="29" t="s">
        <v>167</v>
      </c>
      <c r="B129" s="29" t="s">
        <v>15</v>
      </c>
      <c r="C129" s="38">
        <v>45344</v>
      </c>
      <c r="D129" s="29" t="s">
        <v>16</v>
      </c>
      <c r="E129" s="29" t="s">
        <v>29</v>
      </c>
      <c r="F129" s="14">
        <v>1902</v>
      </c>
      <c r="G129" s="14">
        <v>394</v>
      </c>
      <c r="H129" s="14">
        <v>279</v>
      </c>
      <c r="I129" s="14">
        <v>24615</v>
      </c>
      <c r="J129" s="14">
        <v>51330</v>
      </c>
      <c r="K129" s="14">
        <v>176</v>
      </c>
      <c r="L129" s="29" t="s">
        <v>18</v>
      </c>
      <c r="M129" s="29" t="s">
        <v>19</v>
      </c>
      <c r="N129" s="29" t="s">
        <v>20</v>
      </c>
      <c r="O129" s="29" t="str">
        <f>IF(AND(C129&gt;='Task 1.2'!$B$2,C129&lt;='Task 1.2'!$C$2),"During","Before")</f>
        <v>Before</v>
      </c>
      <c r="P129" s="26">
        <f ca="1">AVERAGEIF(O129:O427,"Before",Posts[[#This Row],[engagement rate]])</f>
        <v>9.5289383238478784</v>
      </c>
      <c r="Q129" s="26">
        <f t="shared" si="2"/>
        <v>10.058583894812617</v>
      </c>
      <c r="R129" s="26">
        <f ca="1">Posts[[#This Row],[Avg. During]]-Posts[[#This Row],[Avg. Before]]/Posts[[#This Row],[Avg. Before]]</f>
        <v>9.0585838948126174</v>
      </c>
      <c r="S129" s="26">
        <v>11.176112126751981</v>
      </c>
    </row>
    <row r="130" spans="1:19">
      <c r="A130" s="29" t="s">
        <v>168</v>
      </c>
      <c r="B130" s="29" t="s">
        <v>27</v>
      </c>
      <c r="C130" s="38">
        <v>45839</v>
      </c>
      <c r="D130" s="29" t="s">
        <v>28</v>
      </c>
      <c r="E130" s="29" t="s">
        <v>22</v>
      </c>
      <c r="F130" s="14">
        <v>3219</v>
      </c>
      <c r="G130" s="14">
        <v>424</v>
      </c>
      <c r="H130" s="14">
        <v>267</v>
      </c>
      <c r="I130" s="14">
        <v>48879</v>
      </c>
      <c r="J130" s="14">
        <v>37691</v>
      </c>
      <c r="K130" s="14">
        <v>224</v>
      </c>
      <c r="L130" s="29" t="s">
        <v>23</v>
      </c>
      <c r="M130" s="29" t="s">
        <v>30</v>
      </c>
      <c r="N130" s="29" t="s">
        <v>20</v>
      </c>
      <c r="O130" s="29" t="str">
        <f>IF(AND(C130&gt;='Task 1.2'!$B$2,C130&lt;='Task 1.2'!$C$2),"During","Before")</f>
        <v>Before</v>
      </c>
      <c r="P130" s="26">
        <f ca="1">AVERAGEIF(O130:O428,"Before",Posts[[#This Row],[engagement rate]])</f>
        <v>9.518578740181816</v>
      </c>
      <c r="Q130" s="26">
        <f t="shared" si="2"/>
        <v>10.283766241383697</v>
      </c>
      <c r="R130" s="26">
        <f ca="1">Posts[[#This Row],[Avg. During]]-Posts[[#This Row],[Avg. Before]]/Posts[[#This Row],[Avg. Before]]</f>
        <v>9.283766241383697</v>
      </c>
      <c r="S130" s="26">
        <v>8.4576198367397044</v>
      </c>
    </row>
    <row r="131" spans="1:19">
      <c r="A131" s="29" t="s">
        <v>169</v>
      </c>
      <c r="B131" s="29" t="s">
        <v>34</v>
      </c>
      <c r="C131" s="38">
        <v>45301</v>
      </c>
      <c r="D131" s="29" t="s">
        <v>16</v>
      </c>
      <c r="E131" s="29" t="s">
        <v>22</v>
      </c>
      <c r="F131" s="14">
        <v>1261</v>
      </c>
      <c r="G131" s="14">
        <v>190</v>
      </c>
      <c r="H131" s="14">
        <v>233</v>
      </c>
      <c r="I131" s="14">
        <v>59888</v>
      </c>
      <c r="J131" s="14">
        <v>51449</v>
      </c>
      <c r="K131" s="14">
        <v>205</v>
      </c>
      <c r="L131" s="29" t="s">
        <v>23</v>
      </c>
      <c r="M131" s="29" t="s">
        <v>36</v>
      </c>
      <c r="N131" s="29" t="s">
        <v>25</v>
      </c>
      <c r="O131" s="29" t="str">
        <f>IF(AND(C131&gt;='Task 1.2'!$B$2,C131&lt;='Task 1.2'!$C$2),"During","Before")</f>
        <v>Before</v>
      </c>
      <c r="P131" s="26">
        <f ca="1">AVERAGEIF(O131:O429,"Before",Posts[[#This Row],[engagement rate]])</f>
        <v>9.5252936699504396</v>
      </c>
      <c r="Q131" s="26">
        <f t="shared" ref="Q131:Q194" si="3">AVERAGEIF($O$2:$O$300, "During",S131:S429)</f>
        <v>10.120338766075601</v>
      </c>
      <c r="R131" s="26">
        <f ca="1">Posts[[#This Row],[Avg. During]]-Posts[[#This Row],[Avg. Before]]/Posts[[#This Row],[Avg. Before]]</f>
        <v>9.1203387660756015</v>
      </c>
      <c r="S131" s="26">
        <v>3.1542212129308043</v>
      </c>
    </row>
    <row r="132" spans="1:19">
      <c r="A132" s="29" t="s">
        <v>170</v>
      </c>
      <c r="B132" s="29" t="s">
        <v>27</v>
      </c>
      <c r="C132" s="38">
        <v>45736</v>
      </c>
      <c r="D132" s="29" t="s">
        <v>16</v>
      </c>
      <c r="E132" s="29" t="s">
        <v>51</v>
      </c>
      <c r="F132" s="14">
        <v>1564</v>
      </c>
      <c r="G132" s="14">
        <v>362</v>
      </c>
      <c r="H132" s="14">
        <v>371</v>
      </c>
      <c r="I132" s="14">
        <v>42075</v>
      </c>
      <c r="J132" s="14">
        <v>66659</v>
      </c>
      <c r="K132" s="14">
        <v>205</v>
      </c>
      <c r="L132" s="29" t="s">
        <v>18</v>
      </c>
      <c r="M132" s="29" t="s">
        <v>24</v>
      </c>
      <c r="N132" s="29" t="s">
        <v>25</v>
      </c>
      <c r="O132" s="29" t="str">
        <f>IF(AND(C132&gt;='Task 1.2'!$B$2,C132&lt;='Task 1.2'!$C$2),"During","Before")</f>
        <v>Before</v>
      </c>
      <c r="P132" s="26">
        <f ca="1">AVERAGEIF(O132:O430,"Before",Posts[[#This Row],[engagement rate]])</f>
        <v>9.5658737492945143</v>
      </c>
      <c r="Q132" s="26">
        <f t="shared" si="3"/>
        <v>8.3239655892426434</v>
      </c>
      <c r="R132" s="26">
        <f ca="1">Posts[[#This Row],[Avg. During]]-Posts[[#This Row],[Avg. Before]]/Posts[[#This Row],[Avg. Before]]</f>
        <v>7.3239655892426434</v>
      </c>
      <c r="S132" s="26">
        <v>5.9465240641711228</v>
      </c>
    </row>
    <row r="133" spans="1:19">
      <c r="A133" s="29" t="s">
        <v>171</v>
      </c>
      <c r="B133" s="29" t="s">
        <v>27</v>
      </c>
      <c r="C133" s="38">
        <v>45563</v>
      </c>
      <c r="D133" s="29" t="s">
        <v>16</v>
      </c>
      <c r="E133" s="29" t="s">
        <v>38</v>
      </c>
      <c r="F133" s="14">
        <v>4006</v>
      </c>
      <c r="G133" s="14">
        <v>420</v>
      </c>
      <c r="H133" s="14">
        <v>194</v>
      </c>
      <c r="I133" s="14">
        <v>49964</v>
      </c>
      <c r="J133" s="14">
        <v>20685</v>
      </c>
      <c r="K133" s="14">
        <v>148</v>
      </c>
      <c r="L133" s="29" t="s">
        <v>19</v>
      </c>
      <c r="M133" s="29" t="s">
        <v>24</v>
      </c>
      <c r="N133" s="29" t="s">
        <v>20</v>
      </c>
      <c r="O133" s="29" t="str">
        <f>IF(AND(C133&gt;='Task 1.2'!$B$2,C133&lt;='Task 1.2'!$C$2),"During","Before")</f>
        <v>Before</v>
      </c>
      <c r="P133" s="26">
        <f ca="1">AVERAGEIF(O133:O431,"Before",Posts[[#This Row],[engagement rate]])</f>
        <v>9.5890747088145361</v>
      </c>
      <c r="Q133" s="26">
        <f t="shared" si="3"/>
        <v>7.1797031539050113</v>
      </c>
      <c r="R133" s="26">
        <f ca="1">Posts[[#This Row],[Avg. During]]-Posts[[#This Row],[Avg. Before]]/Posts[[#This Row],[Avg. Before]]</f>
        <v>6.1797031539050113</v>
      </c>
      <c r="S133" s="26">
        <v>9.5428708670242575</v>
      </c>
    </row>
    <row r="134" spans="1:19">
      <c r="A134" s="29" t="s">
        <v>172</v>
      </c>
      <c r="B134" s="29" t="s">
        <v>34</v>
      </c>
      <c r="C134" s="38">
        <v>45318</v>
      </c>
      <c r="D134" s="29" t="s">
        <v>16</v>
      </c>
      <c r="E134" s="29" t="s">
        <v>51</v>
      </c>
      <c r="F134" s="14">
        <v>1976</v>
      </c>
      <c r="G134" s="14">
        <v>262</v>
      </c>
      <c r="H134" s="14">
        <v>218</v>
      </c>
      <c r="I134" s="14">
        <v>51696</v>
      </c>
      <c r="J134" s="14">
        <v>44846</v>
      </c>
      <c r="K134" s="14">
        <v>139</v>
      </c>
      <c r="L134" s="29" t="s">
        <v>23</v>
      </c>
      <c r="M134" s="29" t="s">
        <v>36</v>
      </c>
      <c r="N134" s="29" t="s">
        <v>25</v>
      </c>
      <c r="O134" s="29" t="str">
        <f>IF(AND(C134&gt;='Task 1.2'!$B$2,C134&lt;='Task 1.2'!$C$2),"During","Before")</f>
        <v>Before</v>
      </c>
      <c r="P134" s="26">
        <f ca="1">AVERAGEIF(O134:O432,"Before",Posts[[#This Row],[engagement rate]])</f>
        <v>9.5893727981164059</v>
      </c>
      <c r="Q134" s="26">
        <f t="shared" si="3"/>
        <v>10.624608803536509</v>
      </c>
      <c r="R134" s="26">
        <f ca="1">Posts[[#This Row],[Avg. During]]-Posts[[#This Row],[Avg. Before]]/Posts[[#This Row],[Avg. Before]]</f>
        <v>9.6246088035365087</v>
      </c>
      <c r="S134" s="26">
        <v>5.0197307335190349</v>
      </c>
    </row>
    <row r="135" spans="1:19">
      <c r="A135" s="29" t="s">
        <v>173</v>
      </c>
      <c r="B135" s="29" t="s">
        <v>27</v>
      </c>
      <c r="C135" s="38">
        <v>45792</v>
      </c>
      <c r="D135" s="29" t="s">
        <v>16</v>
      </c>
      <c r="E135" s="29" t="s">
        <v>29</v>
      </c>
      <c r="F135" s="14">
        <v>1583</v>
      </c>
      <c r="G135" s="14">
        <v>433</v>
      </c>
      <c r="H135" s="14">
        <v>249</v>
      </c>
      <c r="I135" s="14">
        <v>30256</v>
      </c>
      <c r="J135" s="14">
        <v>47066</v>
      </c>
      <c r="K135" s="14">
        <v>196</v>
      </c>
      <c r="L135" s="29" t="s">
        <v>19</v>
      </c>
      <c r="M135" s="29" t="s">
        <v>24</v>
      </c>
      <c r="N135" s="29" t="s">
        <v>20</v>
      </c>
      <c r="O135" s="29" t="str">
        <f>IF(AND(C135&gt;='Task 1.2'!$B$2,C135&lt;='Task 1.2'!$C$2),"During","Before")</f>
        <v>Before</v>
      </c>
      <c r="P135" s="26">
        <f ca="1">AVERAGEIF(O135:O433,"Before",Posts[[#This Row],[engagement rate]])</f>
        <v>9.6190457985358737</v>
      </c>
      <c r="Q135" s="26">
        <f t="shared" si="3"/>
        <v>8.0826622706883118</v>
      </c>
      <c r="R135" s="26">
        <f ca="1">Posts[[#This Row],[Avg. During]]-Posts[[#This Row],[Avg. Before]]/Posts[[#This Row],[Avg. Before]]</f>
        <v>7.0826622706883118</v>
      </c>
      <c r="S135" s="26">
        <v>8.1339238498149129</v>
      </c>
    </row>
    <row r="136" spans="1:19">
      <c r="A136" s="29" t="s">
        <v>174</v>
      </c>
      <c r="B136" s="29" t="s">
        <v>27</v>
      </c>
      <c r="C136" s="38">
        <v>45569</v>
      </c>
      <c r="D136" s="29" t="s">
        <v>28</v>
      </c>
      <c r="E136" s="29" t="s">
        <v>22</v>
      </c>
      <c r="F136" s="14">
        <v>2870</v>
      </c>
      <c r="G136" s="14">
        <v>380</v>
      </c>
      <c r="H136" s="14">
        <v>393</v>
      </c>
      <c r="I136" s="14">
        <v>37621</v>
      </c>
      <c r="J136" s="14">
        <v>71794</v>
      </c>
      <c r="K136" s="14">
        <v>127</v>
      </c>
      <c r="L136" s="29" t="s">
        <v>30</v>
      </c>
      <c r="M136" s="29" t="s">
        <v>19</v>
      </c>
      <c r="N136" s="29" t="s">
        <v>20</v>
      </c>
      <c r="O136" s="29" t="str">
        <f>IF(AND(C136&gt;='Task 1.2'!$B$2,C136&lt;='Task 1.2'!$C$2),"During","Before")</f>
        <v>Before</v>
      </c>
      <c r="P136" s="26">
        <f ca="1">AVERAGEIF(O136:O434,"Before",Posts[[#This Row],[engagement rate]])</f>
        <v>9.6287524779392744</v>
      </c>
      <c r="Q136" s="26">
        <f t="shared" si="3"/>
        <v>6.8933574009318352</v>
      </c>
      <c r="R136" s="26">
        <f ca="1">Posts[[#This Row],[Avg. During]]-Posts[[#This Row],[Avg. Before]]/Posts[[#This Row],[Avg. Before]]</f>
        <v>5.8933574009318352</v>
      </c>
      <c r="S136" s="26">
        <v>10.020998910183142</v>
      </c>
    </row>
    <row r="137" spans="1:19">
      <c r="A137" s="29" t="s">
        <v>175</v>
      </c>
      <c r="B137" s="29" t="s">
        <v>27</v>
      </c>
      <c r="C137" s="38">
        <v>45615</v>
      </c>
      <c r="D137" s="29" t="s">
        <v>16</v>
      </c>
      <c r="E137" s="29" t="s">
        <v>43</v>
      </c>
      <c r="F137" s="14">
        <v>3728</v>
      </c>
      <c r="G137" s="14">
        <v>271</v>
      </c>
      <c r="H137" s="14">
        <v>275</v>
      </c>
      <c r="I137" s="14">
        <v>22827</v>
      </c>
      <c r="J137" s="14">
        <v>37034</v>
      </c>
      <c r="K137" s="14">
        <v>199</v>
      </c>
      <c r="L137" s="29" t="s">
        <v>19</v>
      </c>
      <c r="M137" s="29" t="s">
        <v>24</v>
      </c>
      <c r="N137" s="29" t="s">
        <v>20</v>
      </c>
      <c r="O137" s="29" t="str">
        <f>IF(AND(C137&gt;='Task 1.2'!$B$2,C137&lt;='Task 1.2'!$C$2),"During","Before")</f>
        <v>Before</v>
      </c>
      <c r="P137" s="26">
        <f ca="1">AVERAGEIF(O137:O435,"Before",Posts[[#This Row],[engagement rate]])</f>
        <v>9.6261719093060911</v>
      </c>
      <c r="Q137" s="26">
        <f t="shared" si="3"/>
        <v>7.0121710339616792</v>
      </c>
      <c r="R137" s="26">
        <f ca="1">Posts[[#This Row],[Avg. During]]-Posts[[#This Row],[Avg. Before]]/Posts[[#This Row],[Avg. Before]]</f>
        <v>6.0121710339616792</v>
      </c>
      <c r="S137" s="26">
        <v>19.595216191352346</v>
      </c>
    </row>
    <row r="138" spans="1:19">
      <c r="A138" s="29" t="s">
        <v>176</v>
      </c>
      <c r="B138" s="29" t="s">
        <v>27</v>
      </c>
      <c r="C138" s="38">
        <v>45387</v>
      </c>
      <c r="D138" s="29" t="s">
        <v>28</v>
      </c>
      <c r="E138" s="29" t="s">
        <v>29</v>
      </c>
      <c r="F138" s="14">
        <v>4965</v>
      </c>
      <c r="G138" s="14">
        <v>175</v>
      </c>
      <c r="H138" s="14">
        <v>307</v>
      </c>
      <c r="I138" s="14">
        <v>32793</v>
      </c>
      <c r="J138" s="14">
        <v>43412</v>
      </c>
      <c r="K138" s="14">
        <v>296</v>
      </c>
      <c r="L138" s="29" t="s">
        <v>18</v>
      </c>
      <c r="M138" s="29" t="s">
        <v>19</v>
      </c>
      <c r="N138" s="29" t="s">
        <v>20</v>
      </c>
      <c r="O138" s="29" t="str">
        <f>IF(AND(C138&gt;='Task 1.2'!$B$2,C138&lt;='Task 1.2'!$C$2),"During","Before")</f>
        <v>Before</v>
      </c>
      <c r="P138" s="26">
        <f ca="1">AVERAGEIF(O138:O436,"Before",Posts[[#This Row],[engagement rate]])</f>
        <v>9.5601517484978409</v>
      </c>
      <c r="Q138" s="26">
        <f t="shared" si="3"/>
        <v>11.141813643874301</v>
      </c>
      <c r="R138" s="26">
        <f ca="1">Posts[[#This Row],[Avg. During]]-Posts[[#This Row],[Avg. Before]]/Posts[[#This Row],[Avg. Before]]</f>
        <v>10.141813643874301</v>
      </c>
      <c r="S138" s="26">
        <v>17.512883847162506</v>
      </c>
    </row>
    <row r="139" spans="1:19">
      <c r="A139" s="29" t="s">
        <v>177</v>
      </c>
      <c r="B139" s="29" t="s">
        <v>27</v>
      </c>
      <c r="C139" s="38">
        <v>45624</v>
      </c>
      <c r="D139" s="29" t="s">
        <v>28</v>
      </c>
      <c r="E139" s="29" t="s">
        <v>29</v>
      </c>
      <c r="F139" s="14">
        <v>1131</v>
      </c>
      <c r="G139" s="14">
        <v>100</v>
      </c>
      <c r="H139" s="14">
        <v>116</v>
      </c>
      <c r="I139" s="14">
        <v>48437</v>
      </c>
      <c r="J139" s="14">
        <v>72704</v>
      </c>
      <c r="K139" s="14">
        <v>236</v>
      </c>
      <c r="L139" s="29" t="s">
        <v>23</v>
      </c>
      <c r="M139" s="29" t="s">
        <v>30</v>
      </c>
      <c r="N139" s="29" t="s">
        <v>20</v>
      </c>
      <c r="O139" s="29" t="str">
        <f>IF(AND(C139&gt;='Task 1.2'!$B$2,C139&lt;='Task 1.2'!$C$2),"During","Before")</f>
        <v>Before</v>
      </c>
      <c r="P139" s="26">
        <f ca="1">AVERAGEIF(O139:O437,"Before",Posts[[#This Row],[engagement rate]])</f>
        <v>9.5071335345067443</v>
      </c>
      <c r="Q139" s="26">
        <f t="shared" si="3"/>
        <v>10.600167669130984</v>
      </c>
      <c r="R139" s="26">
        <f ca="1">Posts[[#This Row],[Avg. During]]-Posts[[#This Row],[Avg. Before]]/Posts[[#This Row],[Avg. Before]]</f>
        <v>9.6001676691309843</v>
      </c>
      <c r="S139" s="26">
        <v>3.2681627681318002</v>
      </c>
    </row>
    <row r="140" spans="1:19">
      <c r="A140" s="29" t="s">
        <v>178</v>
      </c>
      <c r="B140" s="29" t="s">
        <v>27</v>
      </c>
      <c r="C140" s="38">
        <v>45725</v>
      </c>
      <c r="D140" s="29" t="s">
        <v>16</v>
      </c>
      <c r="E140" s="29" t="s">
        <v>51</v>
      </c>
      <c r="F140" s="14">
        <v>2754</v>
      </c>
      <c r="G140" s="14">
        <v>215</v>
      </c>
      <c r="H140" s="14">
        <v>264</v>
      </c>
      <c r="I140" s="14">
        <v>27762</v>
      </c>
      <c r="J140" s="14">
        <v>70203</v>
      </c>
      <c r="K140" s="14">
        <v>289</v>
      </c>
      <c r="L140" s="29" t="s">
        <v>19</v>
      </c>
      <c r="M140" s="29" t="s">
        <v>24</v>
      </c>
      <c r="N140" s="29" t="s">
        <v>20</v>
      </c>
      <c r="O140" s="29" t="str">
        <f>IF(AND(C140&gt;='Task 1.2'!$B$2,C140&lt;='Task 1.2'!$C$2),"During","Before")</f>
        <v>Before</v>
      </c>
      <c r="P140" s="26">
        <f ca="1">AVERAGEIF(O140:O438,"Before",Posts[[#This Row],[engagement rate]])</f>
        <v>9.5490058215293949</v>
      </c>
      <c r="Q140" s="26">
        <f t="shared" si="3"/>
        <v>15.10293484613816</v>
      </c>
      <c r="R140" s="26">
        <f ca="1">Posts[[#This Row],[Avg. During]]-Posts[[#This Row],[Avg. Before]]/Posts[[#This Row],[Avg. Before]]</f>
        <v>14.10293484613816</v>
      </c>
      <c r="S140" s="26">
        <v>12.686405878539009</v>
      </c>
    </row>
    <row r="141" spans="1:19">
      <c r="A141" s="29" t="s">
        <v>179</v>
      </c>
      <c r="B141" s="29" t="s">
        <v>27</v>
      </c>
      <c r="C141" s="38">
        <v>45531</v>
      </c>
      <c r="D141" s="29" t="s">
        <v>28</v>
      </c>
      <c r="E141" s="29" t="s">
        <v>29</v>
      </c>
      <c r="F141" s="14">
        <v>1856</v>
      </c>
      <c r="G141" s="14">
        <v>357</v>
      </c>
      <c r="H141" s="14">
        <v>348</v>
      </c>
      <c r="I141" s="14">
        <v>29428</v>
      </c>
      <c r="J141" s="14">
        <v>70206</v>
      </c>
      <c r="K141" s="14">
        <v>236</v>
      </c>
      <c r="L141" s="29" t="s">
        <v>30</v>
      </c>
      <c r="M141" s="29" t="s">
        <v>19</v>
      </c>
      <c r="N141" s="29" t="s">
        <v>20</v>
      </c>
      <c r="O141" s="29" t="str">
        <f>IF(AND(C141&gt;='Task 1.2'!$B$2,C141&lt;='Task 1.2'!$C$2),"During","Before")</f>
        <v>Before</v>
      </c>
      <c r="P141" s="26">
        <f ca="1">AVERAGEIF(O141:O439,"Before",Posts[[#This Row],[engagement rate]])</f>
        <v>9.5278071724955424</v>
      </c>
      <c r="Q141" s="26">
        <f t="shared" si="3"/>
        <v>10.536793271008571</v>
      </c>
      <c r="R141" s="26">
        <f ca="1">Posts[[#This Row],[Avg. During]]-Posts[[#This Row],[Avg. Before]]/Posts[[#This Row],[Avg. Before]]</f>
        <v>9.5367932710085714</v>
      </c>
      <c r="S141" s="26">
        <v>9.5045534864754657</v>
      </c>
    </row>
    <row r="142" spans="1:19">
      <c r="A142" s="29" t="s">
        <v>180</v>
      </c>
      <c r="B142" s="29" t="s">
        <v>34</v>
      </c>
      <c r="C142" s="38">
        <v>45566</v>
      </c>
      <c r="D142" s="29" t="s">
        <v>57</v>
      </c>
      <c r="E142" s="29" t="s">
        <v>22</v>
      </c>
      <c r="F142" s="14">
        <v>3543</v>
      </c>
      <c r="G142" s="14">
        <v>334</v>
      </c>
      <c r="H142" s="14">
        <v>218</v>
      </c>
      <c r="I142" s="14">
        <v>58007</v>
      </c>
      <c r="J142" s="14">
        <v>24792</v>
      </c>
      <c r="K142" s="14">
        <v>273</v>
      </c>
      <c r="L142" s="29" t="s">
        <v>23</v>
      </c>
      <c r="M142" s="29" t="s">
        <v>18</v>
      </c>
      <c r="N142" s="29" t="s">
        <v>58</v>
      </c>
      <c r="O142" s="29" t="str">
        <f>IF(AND(C142&gt;='Task 1.2'!$B$2,C142&lt;='Task 1.2'!$C$2),"During","Before")</f>
        <v>Before</v>
      </c>
      <c r="P142" s="26">
        <f ca="1">AVERAGEIF(O142:O440,"Before",Posts[[#This Row],[engagement rate]])</f>
        <v>9.5279653608358128</v>
      </c>
      <c r="Q142" s="26">
        <f t="shared" si="3"/>
        <v>9.3815997530193016</v>
      </c>
      <c r="R142" s="26">
        <f ca="1">Posts[[#This Row],[Avg. During]]-Posts[[#This Row],[Avg. Before]]/Posts[[#This Row],[Avg. Before]]</f>
        <v>8.3815997530193016</v>
      </c>
      <c r="S142" s="26">
        <v>7.5301256744875618</v>
      </c>
    </row>
    <row r="143" spans="1:19">
      <c r="A143" s="29" t="s">
        <v>181</v>
      </c>
      <c r="B143" s="29" t="s">
        <v>15</v>
      </c>
      <c r="C143" s="38">
        <v>45647</v>
      </c>
      <c r="D143" s="29" t="s">
        <v>28</v>
      </c>
      <c r="E143" s="29" t="s">
        <v>29</v>
      </c>
      <c r="F143" s="14">
        <v>4563</v>
      </c>
      <c r="G143" s="14">
        <v>398</v>
      </c>
      <c r="H143" s="14">
        <v>163</v>
      </c>
      <c r="I143" s="14">
        <v>43679</v>
      </c>
      <c r="J143" s="14">
        <v>48760</v>
      </c>
      <c r="K143" s="14">
        <v>92</v>
      </c>
      <c r="L143" s="29" t="s">
        <v>19</v>
      </c>
      <c r="M143" s="29" t="s">
        <v>24</v>
      </c>
      <c r="N143" s="29" t="s">
        <v>55</v>
      </c>
      <c r="O143" s="29" t="str">
        <f>IF(AND(C143&gt;='Task 1.2'!$B$2,C143&lt;='Task 1.2'!$C$2),"During","Before")</f>
        <v>Before</v>
      </c>
      <c r="P143" s="26">
        <f ca="1">AVERAGEIF(O143:O441,"Before",Posts[[#This Row],[engagement rate]])</f>
        <v>9.5416491943039539</v>
      </c>
      <c r="Q143" s="26">
        <f t="shared" si="3"/>
        <v>11.445190249484515</v>
      </c>
      <c r="R143" s="26">
        <f ca="1">Posts[[#This Row],[Avg. During]]-Posts[[#This Row],[Avg. Before]]/Posts[[#This Row],[Avg. Before]]</f>
        <v>10.445190249484515</v>
      </c>
      <c r="S143" s="26">
        <v>11.941665331166007</v>
      </c>
    </row>
    <row r="144" spans="1:19">
      <c r="A144" s="29" t="s">
        <v>182</v>
      </c>
      <c r="B144" s="29" t="s">
        <v>15</v>
      </c>
      <c r="C144" s="38">
        <v>45460</v>
      </c>
      <c r="D144" s="29" t="s">
        <v>16</v>
      </c>
      <c r="E144" s="29" t="s">
        <v>17</v>
      </c>
      <c r="F144" s="14">
        <v>4283</v>
      </c>
      <c r="G144" s="14">
        <v>471</v>
      </c>
      <c r="H144" s="14">
        <v>156</v>
      </c>
      <c r="I144" s="14">
        <v>53004</v>
      </c>
      <c r="J144" s="14">
        <v>25678</v>
      </c>
      <c r="K144" s="14">
        <v>105</v>
      </c>
      <c r="L144" s="29" t="s">
        <v>23</v>
      </c>
      <c r="M144" s="29" t="s">
        <v>24</v>
      </c>
      <c r="N144" s="29" t="s">
        <v>25</v>
      </c>
      <c r="O144" s="29" t="str">
        <f>IF(AND(C144&gt;='Task 1.2'!$B$2,C144&lt;='Task 1.2'!$C$2),"During","Before")</f>
        <v>During</v>
      </c>
      <c r="P144" s="26">
        <f ca="1">AVERAGEIF(O144:O442,"Before",Posts[[#This Row],[engagement rate]])</f>
        <v>9.5250973588773213</v>
      </c>
      <c r="Q144" s="26">
        <f t="shared" si="3"/>
        <v>11.14397980460544</v>
      </c>
      <c r="R144" s="26">
        <f ca="1">Posts[[#This Row],[Avg. During]]-Posts[[#This Row],[Avg. Before]]/Posts[[#This Row],[Avg. Before]]</f>
        <v>10.14397980460544</v>
      </c>
      <c r="S144" s="26">
        <v>9.4615500716927023</v>
      </c>
    </row>
    <row r="145" spans="1:19">
      <c r="A145" s="29" t="s">
        <v>183</v>
      </c>
      <c r="B145" s="29" t="s">
        <v>15</v>
      </c>
      <c r="C145" s="38">
        <v>45702</v>
      </c>
      <c r="D145" s="29" t="s">
        <v>16</v>
      </c>
      <c r="E145" s="29" t="s">
        <v>17</v>
      </c>
      <c r="F145" s="14">
        <v>2329</v>
      </c>
      <c r="G145" s="14">
        <v>373</v>
      </c>
      <c r="H145" s="14">
        <v>291</v>
      </c>
      <c r="I145" s="14">
        <v>49577</v>
      </c>
      <c r="J145" s="14">
        <v>28002</v>
      </c>
      <c r="K145" s="14">
        <v>82</v>
      </c>
      <c r="L145" s="29" t="s">
        <v>18</v>
      </c>
      <c r="M145" s="29" t="s">
        <v>19</v>
      </c>
      <c r="N145" s="29" t="s">
        <v>20</v>
      </c>
      <c r="O145" s="29" t="str">
        <f>IF(AND(C145&gt;='Task 1.2'!$B$2,C145&lt;='Task 1.2'!$C$2),"During","Before")</f>
        <v>Before</v>
      </c>
      <c r="P145" s="26">
        <f ca="1">AVERAGEIF(O145:O443,"Before",Posts[[#This Row],[engagement rate]])</f>
        <v>9.5250973588773213</v>
      </c>
      <c r="Q145" s="26">
        <f t="shared" si="3"/>
        <v>9.1852254438880241</v>
      </c>
      <c r="R145" s="26">
        <f ca="1">Posts[[#This Row],[Avg. During]]-Posts[[#This Row],[Avg. Before]]/Posts[[#This Row],[Avg. Before]]</f>
        <v>8.1852254438880241</v>
      </c>
      <c r="S145" s="26">
        <v>6.2024729209109069</v>
      </c>
    </row>
    <row r="146" spans="1:19">
      <c r="A146" s="29" t="s">
        <v>184</v>
      </c>
      <c r="B146" s="29" t="s">
        <v>27</v>
      </c>
      <c r="C146" s="38">
        <v>45805</v>
      </c>
      <c r="D146" s="29" t="s">
        <v>28</v>
      </c>
      <c r="E146" s="29" t="s">
        <v>43</v>
      </c>
      <c r="F146" s="14">
        <v>4287</v>
      </c>
      <c r="G146" s="14">
        <v>273</v>
      </c>
      <c r="H146" s="14">
        <v>122</v>
      </c>
      <c r="I146" s="14">
        <v>40792</v>
      </c>
      <c r="J146" s="14">
        <v>23878</v>
      </c>
      <c r="K146" s="14">
        <v>277</v>
      </c>
      <c r="L146" s="29" t="s">
        <v>30</v>
      </c>
      <c r="M146" s="29" t="s">
        <v>19</v>
      </c>
      <c r="N146" s="29" t="s">
        <v>20</v>
      </c>
      <c r="O146" s="29" t="str">
        <f>IF(AND(C146&gt;='Task 1.2'!$B$2,C146&lt;='Task 1.2'!$C$2),"During","Before")</f>
        <v>Before</v>
      </c>
      <c r="P146" s="26">
        <f ca="1">AVERAGEIF(O146:O444,"Before",Posts[[#This Row],[engagement rate]])</f>
        <v>9.5481711396965316</v>
      </c>
      <c r="Q146" s="26">
        <f t="shared" si="3"/>
        <v>9.820781785656667</v>
      </c>
      <c r="R146" s="26">
        <f ca="1">Posts[[#This Row],[Avg. During]]-Posts[[#This Row],[Avg. Before]]/Posts[[#This Row],[Avg. Before]]</f>
        <v>8.820781785656667</v>
      </c>
      <c r="S146" s="26">
        <v>12.156795450088252</v>
      </c>
    </row>
    <row r="147" spans="1:19">
      <c r="A147" s="29" t="s">
        <v>185</v>
      </c>
      <c r="B147" s="29" t="s">
        <v>15</v>
      </c>
      <c r="C147" s="38">
        <v>45799</v>
      </c>
      <c r="D147" s="29" t="s">
        <v>16</v>
      </c>
      <c r="E147" s="29" t="s">
        <v>17</v>
      </c>
      <c r="F147" s="14">
        <v>2633</v>
      </c>
      <c r="G147" s="14">
        <v>318</v>
      </c>
      <c r="H147" s="14">
        <v>380</v>
      </c>
      <c r="I147" s="14">
        <v>40869</v>
      </c>
      <c r="J147" s="14">
        <v>64474</v>
      </c>
      <c r="K147" s="14">
        <v>245</v>
      </c>
      <c r="L147" s="29" t="s">
        <v>23</v>
      </c>
      <c r="M147" s="29" t="s">
        <v>24</v>
      </c>
      <c r="N147" s="29" t="s">
        <v>25</v>
      </c>
      <c r="O147" s="29" t="str">
        <f>IF(AND(C147&gt;='Task 1.2'!$B$2,C147&lt;='Task 1.2'!$C$2),"During","Before")</f>
        <v>Before</v>
      </c>
      <c r="P147" s="26">
        <f ca="1">AVERAGEIF(O147:O445,"Before",Posts[[#This Row],[engagement rate]])</f>
        <v>9.5299290116518343</v>
      </c>
      <c r="Q147" s="26">
        <f t="shared" si="3"/>
        <v>8.64272527564966</v>
      </c>
      <c r="R147" s="26">
        <f ca="1">Posts[[#This Row],[Avg. During]]-Posts[[#This Row],[Avg. Before]]/Posts[[#This Row],[Avg. Before]]</f>
        <v>7.64272527564966</v>
      </c>
      <c r="S147" s="26">
        <v>8.7499082434118769</v>
      </c>
    </row>
    <row r="148" spans="1:19">
      <c r="A148" s="29" t="s">
        <v>186</v>
      </c>
      <c r="B148" s="29" t="s">
        <v>27</v>
      </c>
      <c r="C148" s="38">
        <v>45312</v>
      </c>
      <c r="D148" s="29" t="s">
        <v>28</v>
      </c>
      <c r="E148" s="29" t="s">
        <v>17</v>
      </c>
      <c r="F148" s="14">
        <v>2383</v>
      </c>
      <c r="G148" s="14">
        <v>136</v>
      </c>
      <c r="H148" s="14">
        <v>302</v>
      </c>
      <c r="I148" s="14">
        <v>39187</v>
      </c>
      <c r="J148" s="14">
        <v>22133</v>
      </c>
      <c r="K148" s="14">
        <v>208</v>
      </c>
      <c r="L148" s="29" t="s">
        <v>30</v>
      </c>
      <c r="M148" s="29" t="s">
        <v>19</v>
      </c>
      <c r="N148" s="29" t="s">
        <v>20</v>
      </c>
      <c r="O148" s="29" t="str">
        <f>IF(AND(C148&gt;='Task 1.2'!$B$2,C148&lt;='Task 1.2'!$C$2),"During","Before")</f>
        <v>Before</v>
      </c>
      <c r="P148" s="26">
        <f ca="1">AVERAGEIF(O148:O446,"Before",Posts[[#This Row],[engagement rate]])</f>
        <v>9.5354221156535228</v>
      </c>
      <c r="Q148" s="26">
        <f t="shared" si="3"/>
        <v>9.3517510281393648</v>
      </c>
      <c r="R148" s="26">
        <f ca="1">Posts[[#This Row],[Avg. During]]-Posts[[#This Row],[Avg. Before]]/Posts[[#This Row],[Avg. Before]]</f>
        <v>8.3517510281393648</v>
      </c>
      <c r="S148" s="26">
        <v>7.7296042054763063</v>
      </c>
    </row>
    <row r="149" spans="1:19">
      <c r="A149" s="29" t="s">
        <v>187</v>
      </c>
      <c r="B149" s="29" t="s">
        <v>27</v>
      </c>
      <c r="C149" s="38">
        <v>45696</v>
      </c>
      <c r="D149" s="29" t="s">
        <v>28</v>
      </c>
      <c r="E149" s="29" t="s">
        <v>51</v>
      </c>
      <c r="F149" s="14">
        <v>4752</v>
      </c>
      <c r="G149" s="14">
        <v>334</v>
      </c>
      <c r="H149" s="14">
        <v>56</v>
      </c>
      <c r="I149" s="14">
        <v>48017</v>
      </c>
      <c r="J149" s="14">
        <v>55534</v>
      </c>
      <c r="K149" s="14">
        <v>270</v>
      </c>
      <c r="L149" s="29" t="s">
        <v>23</v>
      </c>
      <c r="M149" s="29" t="s">
        <v>30</v>
      </c>
      <c r="N149" s="29" t="s">
        <v>20</v>
      </c>
      <c r="O149" s="29" t="str">
        <f>IF(AND(C149&gt;='Task 1.2'!$B$2,C149&lt;='Task 1.2'!$C$2),"During","Before")</f>
        <v>Before</v>
      </c>
      <c r="P149" s="26">
        <f ca="1">AVERAGEIF(O149:O447,"Before",Posts[[#This Row],[engagement rate]])</f>
        <v>9.548229334874641</v>
      </c>
      <c r="Q149" s="26">
        <f t="shared" si="3"/>
        <v>9.8602984557740729</v>
      </c>
      <c r="R149" s="26">
        <f ca="1">Posts[[#This Row],[Avg. During]]-Posts[[#This Row],[Avg. Before]]/Posts[[#This Row],[Avg. Before]]</f>
        <v>8.8602984557740729</v>
      </c>
      <c r="S149" s="26">
        <v>11.271008184601287</v>
      </c>
    </row>
    <row r="150" spans="1:19">
      <c r="A150" s="29" t="s">
        <v>188</v>
      </c>
      <c r="B150" s="29" t="s">
        <v>27</v>
      </c>
      <c r="C150" s="38">
        <v>45760</v>
      </c>
      <c r="D150" s="29" t="s">
        <v>16</v>
      </c>
      <c r="E150" s="29" t="s">
        <v>49</v>
      </c>
      <c r="F150" s="14">
        <v>3890</v>
      </c>
      <c r="G150" s="14">
        <v>408</v>
      </c>
      <c r="H150" s="14">
        <v>338</v>
      </c>
      <c r="I150" s="14">
        <v>56994</v>
      </c>
      <c r="J150" s="14">
        <v>32621</v>
      </c>
      <c r="K150" s="14">
        <v>286</v>
      </c>
      <c r="L150" s="29" t="s">
        <v>18</v>
      </c>
      <c r="M150" s="29" t="s">
        <v>24</v>
      </c>
      <c r="N150" s="29" t="s">
        <v>25</v>
      </c>
      <c r="O150" s="29" t="str">
        <f>IF(AND(C150&gt;='Task 1.2'!$B$2,C150&lt;='Task 1.2'!$C$2),"During","Before")</f>
        <v>Before</v>
      </c>
      <c r="P150" s="26">
        <f ca="1">AVERAGEIF(O150:O448,"Before",Posts[[#This Row],[engagement rate]])</f>
        <v>9.535923771662306</v>
      </c>
      <c r="Q150" s="26">
        <f t="shared" si="3"/>
        <v>8.5856361931019016</v>
      </c>
      <c r="R150" s="26">
        <f ca="1">Posts[[#This Row],[Avg. During]]-Posts[[#This Row],[Avg. Before]]/Posts[[#This Row],[Avg. Before]]</f>
        <v>7.5856361931019016</v>
      </c>
      <c r="S150" s="26">
        <v>8.6359967715899923</v>
      </c>
    </row>
    <row r="151" spans="1:19">
      <c r="A151" s="29" t="s">
        <v>189</v>
      </c>
      <c r="B151" s="29" t="s">
        <v>27</v>
      </c>
      <c r="C151" s="38">
        <v>45442</v>
      </c>
      <c r="D151" s="29" t="s">
        <v>28</v>
      </c>
      <c r="E151" s="29" t="s">
        <v>51</v>
      </c>
      <c r="F151" s="14">
        <v>2311</v>
      </c>
      <c r="G151" s="14">
        <v>207</v>
      </c>
      <c r="H151" s="14">
        <v>363</v>
      </c>
      <c r="I151" s="14">
        <v>30349</v>
      </c>
      <c r="J151" s="14">
        <v>32925</v>
      </c>
      <c r="K151" s="14">
        <v>88</v>
      </c>
      <c r="L151" s="29" t="s">
        <v>30</v>
      </c>
      <c r="M151" s="29" t="s">
        <v>19</v>
      </c>
      <c r="N151" s="29" t="s">
        <v>20</v>
      </c>
      <c r="O151" s="29" t="str">
        <f>IF(AND(C151&gt;='Task 1.2'!$B$2,C151&lt;='Task 1.2'!$C$2),"During","Before")</f>
        <v>Before</v>
      </c>
      <c r="P151" s="26">
        <f ca="1">AVERAGEIF(O151:O449,"Before",Posts[[#This Row],[engagement rate]])</f>
        <v>9.5423980666268555</v>
      </c>
      <c r="Q151" s="26">
        <f t="shared" si="3"/>
        <v>8.1468827481192125</v>
      </c>
      <c r="R151" s="26">
        <f ca="1">Posts[[#This Row],[Avg. During]]-Posts[[#This Row],[Avg. Before]]/Posts[[#This Row],[Avg. Before]]</f>
        <v>7.1468827481192125</v>
      </c>
      <c r="S151" s="26">
        <v>9.7828594022867303</v>
      </c>
    </row>
    <row r="152" spans="1:19">
      <c r="A152" s="29" t="s">
        <v>190</v>
      </c>
      <c r="B152" s="29" t="s">
        <v>15</v>
      </c>
      <c r="C152" s="38">
        <v>45516</v>
      </c>
      <c r="D152" s="29" t="s">
        <v>28</v>
      </c>
      <c r="E152" s="29" t="s">
        <v>17</v>
      </c>
      <c r="F152" s="14">
        <v>2962</v>
      </c>
      <c r="G152" s="14">
        <v>400</v>
      </c>
      <c r="H152" s="14">
        <v>280</v>
      </c>
      <c r="I152" s="14">
        <v>52508</v>
      </c>
      <c r="J152" s="14">
        <v>58329</v>
      </c>
      <c r="K152" s="14">
        <v>219</v>
      </c>
      <c r="L152" s="29" t="s">
        <v>19</v>
      </c>
      <c r="M152" s="29" t="s">
        <v>24</v>
      </c>
      <c r="N152" s="29" t="s">
        <v>55</v>
      </c>
      <c r="O152" s="29" t="str">
        <f>IF(AND(C152&gt;='Task 1.2'!$B$2,C152&lt;='Task 1.2'!$C$2),"During","Before")</f>
        <v>Before</v>
      </c>
      <c r="P152" s="26">
        <f ca="1">AVERAGEIF(O152:O450,"Before",Posts[[#This Row],[engagement rate]])</f>
        <v>9.5406555931800447</v>
      </c>
      <c r="Q152" s="26">
        <f t="shared" si="3"/>
        <v>10.561810222888175</v>
      </c>
      <c r="R152" s="26">
        <f ca="1">Posts[[#This Row],[Avg. During]]-Posts[[#This Row],[Avg. Before]]/Posts[[#This Row],[Avg. Before]]</f>
        <v>9.5618102228881749</v>
      </c>
      <c r="S152" s="26">
        <v>7.3531652319646534</v>
      </c>
    </row>
    <row r="153" spans="1:19">
      <c r="A153" s="29" t="s">
        <v>191</v>
      </c>
      <c r="B153" s="29" t="s">
        <v>15</v>
      </c>
      <c r="C153" s="38">
        <v>45562</v>
      </c>
      <c r="D153" s="29" t="s">
        <v>16</v>
      </c>
      <c r="E153" s="29" t="s">
        <v>17</v>
      </c>
      <c r="F153" s="14">
        <v>3118</v>
      </c>
      <c r="G153" s="14">
        <v>116</v>
      </c>
      <c r="H153" s="14">
        <v>195</v>
      </c>
      <c r="I153" s="14">
        <v>37100</v>
      </c>
      <c r="J153" s="14">
        <v>62629</v>
      </c>
      <c r="K153" s="14">
        <v>272</v>
      </c>
      <c r="L153" s="29" t="s">
        <v>23</v>
      </c>
      <c r="M153" s="29" t="s">
        <v>24</v>
      </c>
      <c r="N153" s="29" t="s">
        <v>25</v>
      </c>
      <c r="O153" s="29" t="str">
        <f>IF(AND(C153&gt;='Task 1.2'!$B$2,C153&lt;='Task 1.2'!$C$2),"During","Before")</f>
        <v>Before</v>
      </c>
      <c r="P153" s="26">
        <f ca="1">AVERAGEIF(O153:O451,"Before",Posts[[#This Row],[engagement rate]])</f>
        <v>9.5566226761086277</v>
      </c>
      <c r="Q153" s="26">
        <f t="shared" si="3"/>
        <v>10.012660379760414</v>
      </c>
      <c r="R153" s="26">
        <f ca="1">Posts[[#This Row],[Avg. During]]-Posts[[#This Row],[Avg. Before]]/Posts[[#This Row],[Avg. Before]]</f>
        <v>9.0126603797604137</v>
      </c>
      <c r="S153" s="26">
        <v>9.9757412398921836</v>
      </c>
    </row>
    <row r="154" spans="1:19">
      <c r="A154" s="29" t="s">
        <v>192</v>
      </c>
      <c r="B154" s="29" t="s">
        <v>27</v>
      </c>
      <c r="C154" s="38">
        <v>45819</v>
      </c>
      <c r="D154" s="29" t="s">
        <v>28</v>
      </c>
      <c r="E154" s="29" t="s">
        <v>22</v>
      </c>
      <c r="F154" s="14">
        <v>3805</v>
      </c>
      <c r="G154" s="14">
        <v>453</v>
      </c>
      <c r="H154" s="14">
        <v>63</v>
      </c>
      <c r="I154" s="14">
        <v>52395</v>
      </c>
      <c r="J154" s="14">
        <v>72934</v>
      </c>
      <c r="K154" s="14">
        <v>87</v>
      </c>
      <c r="L154" s="29" t="s">
        <v>23</v>
      </c>
      <c r="M154" s="29" t="s">
        <v>30</v>
      </c>
      <c r="N154" s="29" t="s">
        <v>20</v>
      </c>
      <c r="O154" s="29" t="str">
        <f>IF(AND(C154&gt;='Task 1.2'!$B$2,C154&lt;='Task 1.2'!$C$2),"During","Before")</f>
        <v>Before</v>
      </c>
      <c r="P154" s="26">
        <f ca="1">AVERAGEIF(O154:O452,"Before",Posts[[#This Row],[engagement rate]])</f>
        <v>9.55354092196316</v>
      </c>
      <c r="Q154" s="26">
        <f t="shared" si="3"/>
        <v>9.7483413077721952</v>
      </c>
      <c r="R154" s="26">
        <f ca="1">Posts[[#This Row],[Avg. During]]-Posts[[#This Row],[Avg. Before]]/Posts[[#This Row],[Avg. Before]]</f>
        <v>8.7483413077721952</v>
      </c>
      <c r="S154" s="26">
        <v>8.4130165092088944</v>
      </c>
    </row>
    <row r="155" spans="1:19">
      <c r="A155" s="29" t="s">
        <v>193</v>
      </c>
      <c r="B155" s="29" t="s">
        <v>15</v>
      </c>
      <c r="C155" s="38">
        <v>45615</v>
      </c>
      <c r="D155" s="29" t="s">
        <v>16</v>
      </c>
      <c r="E155" s="29" t="s">
        <v>38</v>
      </c>
      <c r="F155" s="14">
        <v>2525</v>
      </c>
      <c r="G155" s="14">
        <v>272</v>
      </c>
      <c r="H155" s="14">
        <v>294</v>
      </c>
      <c r="I155" s="14">
        <v>51875</v>
      </c>
      <c r="J155" s="14">
        <v>24732</v>
      </c>
      <c r="K155" s="14">
        <v>92</v>
      </c>
      <c r="L155" s="29" t="s">
        <v>23</v>
      </c>
      <c r="M155" s="29" t="s">
        <v>24</v>
      </c>
      <c r="N155" s="29" t="s">
        <v>25</v>
      </c>
      <c r="O155" s="29" t="str">
        <f>IF(AND(C155&gt;='Task 1.2'!$B$2,C155&lt;='Task 1.2'!$C$2),"During","Before")</f>
        <v>Before</v>
      </c>
      <c r="P155" s="26">
        <f ca="1">AVERAGEIF(O155:O453,"Before",Posts[[#This Row],[engagement rate]])</f>
        <v>9.5619892509465227</v>
      </c>
      <c r="Q155" s="26">
        <f t="shared" si="3"/>
        <v>9.3738028569912029</v>
      </c>
      <c r="R155" s="26">
        <f ca="1">Posts[[#This Row],[Avg. During]]-Posts[[#This Row],[Avg. Before]]/Posts[[#This Row],[Avg. Before]]</f>
        <v>8.3738028569912029</v>
      </c>
      <c r="S155" s="26">
        <v>6.1359036144578312</v>
      </c>
    </row>
    <row r="156" spans="1:19">
      <c r="A156" s="29" t="s">
        <v>194</v>
      </c>
      <c r="B156" s="29" t="s">
        <v>15</v>
      </c>
      <c r="C156" s="38">
        <v>45407</v>
      </c>
      <c r="D156" s="29" t="s">
        <v>16</v>
      </c>
      <c r="E156" s="29" t="s">
        <v>35</v>
      </c>
      <c r="F156" s="14">
        <v>3563</v>
      </c>
      <c r="G156" s="14">
        <v>483</v>
      </c>
      <c r="H156" s="14">
        <v>227</v>
      </c>
      <c r="I156" s="14">
        <v>41085</v>
      </c>
      <c r="J156" s="14">
        <v>26393</v>
      </c>
      <c r="K156" s="14">
        <v>236</v>
      </c>
      <c r="L156" s="29" t="s">
        <v>18</v>
      </c>
      <c r="M156" s="29" t="s">
        <v>19</v>
      </c>
      <c r="N156" s="29" t="s">
        <v>20</v>
      </c>
      <c r="O156" s="29" t="str">
        <f>IF(AND(C156&gt;='Task 1.2'!$B$2,C156&lt;='Task 1.2'!$C$2),"During","Before")</f>
        <v>Before</v>
      </c>
      <c r="P156" s="26">
        <f ca="1">AVERAGEIF(O156:O454,"Before",Posts[[#This Row],[engagement rate]])</f>
        <v>9.5875570542039021</v>
      </c>
      <c r="Q156" s="26">
        <f t="shared" si="3"/>
        <v>9.1090091479959145</v>
      </c>
      <c r="R156" s="26">
        <f ca="1">Posts[[#This Row],[Avg. During]]-Posts[[#This Row],[Avg. Before]]/Posts[[#This Row],[Avg. Before]]</f>
        <v>8.1090091479959145</v>
      </c>
      <c r="S156" s="26">
        <v>10.974808324205915</v>
      </c>
    </row>
    <row r="157" spans="1:19">
      <c r="A157" s="29" t="s">
        <v>195</v>
      </c>
      <c r="B157" s="29" t="s">
        <v>34</v>
      </c>
      <c r="C157" s="38">
        <v>45538</v>
      </c>
      <c r="D157" s="29" t="s">
        <v>57</v>
      </c>
      <c r="E157" s="29" t="s">
        <v>38</v>
      </c>
      <c r="F157" s="14">
        <v>1437</v>
      </c>
      <c r="G157" s="14">
        <v>494</v>
      </c>
      <c r="H157" s="14">
        <v>129</v>
      </c>
      <c r="I157" s="14">
        <v>53048</v>
      </c>
      <c r="J157" s="14">
        <v>44090</v>
      </c>
      <c r="K157" s="14">
        <v>230</v>
      </c>
      <c r="L157" s="29" t="s">
        <v>23</v>
      </c>
      <c r="M157" s="29" t="s">
        <v>18</v>
      </c>
      <c r="N157" s="29" t="s">
        <v>58</v>
      </c>
      <c r="O157" s="29" t="str">
        <f>IF(AND(C157&gt;='Task 1.2'!$B$2,C157&lt;='Task 1.2'!$C$2),"During","Before")</f>
        <v>Before</v>
      </c>
      <c r="P157" s="26">
        <f ca="1">AVERAGEIF(O157:O455,"Before",Posts[[#This Row],[engagement rate]])</f>
        <v>9.5771265935271934</v>
      </c>
      <c r="Q157" s="26">
        <f t="shared" si="3"/>
        <v>8.2695088231545135</v>
      </c>
      <c r="R157" s="26">
        <f ca="1">Posts[[#This Row],[Avg. During]]-Posts[[#This Row],[Avg. Before]]/Posts[[#This Row],[Avg. Before]]</f>
        <v>7.2695088231545135</v>
      </c>
      <c r="S157" s="26">
        <v>4.3168451213994876</v>
      </c>
    </row>
    <row r="158" spans="1:19">
      <c r="A158" s="29" t="s">
        <v>196</v>
      </c>
      <c r="B158" s="29" t="s">
        <v>34</v>
      </c>
      <c r="C158" s="38">
        <v>45718</v>
      </c>
      <c r="D158" s="29" t="s">
        <v>16</v>
      </c>
      <c r="E158" s="29" t="s">
        <v>49</v>
      </c>
      <c r="F158" s="14">
        <v>4425</v>
      </c>
      <c r="G158" s="14">
        <v>185</v>
      </c>
      <c r="H158" s="14">
        <v>162</v>
      </c>
      <c r="I158" s="14">
        <v>24610</v>
      </c>
      <c r="J158" s="14">
        <v>21342</v>
      </c>
      <c r="K158" s="14">
        <v>158</v>
      </c>
      <c r="L158" s="29" t="s">
        <v>23</v>
      </c>
      <c r="M158" s="29" t="s">
        <v>36</v>
      </c>
      <c r="N158" s="29" t="s">
        <v>25</v>
      </c>
      <c r="O158" s="29" t="str">
        <f>IF(AND(C158&gt;='Task 1.2'!$B$2,C158&lt;='Task 1.2'!$C$2),"During","Before")</f>
        <v>Before</v>
      </c>
      <c r="P158" s="26">
        <f ca="1">AVERAGEIF(O158:O456,"Before",Posts[[#This Row],[engagement rate]])</f>
        <v>9.6169772107402807</v>
      </c>
      <c r="Q158" s="26">
        <f t="shared" si="3"/>
        <v>8.0677023130806393</v>
      </c>
      <c r="R158" s="26">
        <f ca="1">Posts[[#This Row],[Avg. During]]-Posts[[#This Row],[Avg. Before]]/Posts[[#This Row],[Avg. Before]]</f>
        <v>7.0677023130806393</v>
      </c>
      <c r="S158" s="26">
        <v>20.032507110930517</v>
      </c>
    </row>
    <row r="159" spans="1:19">
      <c r="A159" s="29" t="s">
        <v>197</v>
      </c>
      <c r="B159" s="29" t="s">
        <v>27</v>
      </c>
      <c r="C159" s="38">
        <v>45737</v>
      </c>
      <c r="D159" s="29" t="s">
        <v>28</v>
      </c>
      <c r="E159" s="29" t="s">
        <v>29</v>
      </c>
      <c r="F159" s="14">
        <v>4609</v>
      </c>
      <c r="G159" s="14">
        <v>427</v>
      </c>
      <c r="H159" s="14">
        <v>395</v>
      </c>
      <c r="I159" s="14">
        <v>33698</v>
      </c>
      <c r="J159" s="14">
        <v>29259</v>
      </c>
      <c r="K159" s="14">
        <v>216</v>
      </c>
      <c r="L159" s="29" t="s">
        <v>23</v>
      </c>
      <c r="M159" s="29" t="s">
        <v>30</v>
      </c>
      <c r="N159" s="29" t="s">
        <v>20</v>
      </c>
      <c r="O159" s="29" t="str">
        <f>IF(AND(C159&gt;='Task 1.2'!$B$2,C159&lt;='Task 1.2'!$C$2),"During","Before")</f>
        <v>Before</v>
      </c>
      <c r="P159" s="26">
        <f ca="1">AVERAGEIF(O159:O457,"Before",Posts[[#This Row],[engagement rate]])</f>
        <v>9.5374693489067717</v>
      </c>
      <c r="Q159" s="26">
        <f t="shared" si="3"/>
        <v>10.306864637963246</v>
      </c>
      <c r="R159" s="26">
        <f ca="1">Posts[[#This Row],[Avg. During]]-Posts[[#This Row],[Avg. Before]]/Posts[[#This Row],[Avg. Before]]</f>
        <v>9.3068646379632458</v>
      </c>
      <c r="S159" s="26">
        <v>16.757671078402279</v>
      </c>
    </row>
    <row r="160" spans="1:19">
      <c r="A160" s="29" t="s">
        <v>198</v>
      </c>
      <c r="B160" s="29" t="s">
        <v>15</v>
      </c>
      <c r="C160" s="38">
        <v>45394</v>
      </c>
      <c r="D160" s="29" t="s">
        <v>28</v>
      </c>
      <c r="E160" s="29" t="s">
        <v>40</v>
      </c>
      <c r="F160" s="14">
        <v>1558</v>
      </c>
      <c r="G160" s="14">
        <v>352</v>
      </c>
      <c r="H160" s="14">
        <v>202</v>
      </c>
      <c r="I160" s="14">
        <v>25405</v>
      </c>
      <c r="J160" s="14">
        <v>69941</v>
      </c>
      <c r="K160" s="14">
        <v>219</v>
      </c>
      <c r="L160" s="29" t="s">
        <v>19</v>
      </c>
      <c r="M160" s="29" t="s">
        <v>24</v>
      </c>
      <c r="N160" s="29" t="s">
        <v>55</v>
      </c>
      <c r="O160" s="29" t="str">
        <f>IF(AND(C160&gt;='Task 1.2'!$B$2,C160&lt;='Task 1.2'!$C$2),"During","Before")</f>
        <v>Before</v>
      </c>
      <c r="P160" s="26">
        <f ca="1">AVERAGEIF(O160:O458,"Before",Posts[[#This Row],[engagement rate]])</f>
        <v>9.4819293356029579</v>
      </c>
      <c r="Q160" s="26">
        <f t="shared" si="3"/>
        <v>12.208674162311581</v>
      </c>
      <c r="R160" s="26">
        <f ca="1">Posts[[#This Row],[Avg. During]]-Posts[[#This Row],[Avg. Before]]/Posts[[#This Row],[Avg. Before]]</f>
        <v>11.208674162311581</v>
      </c>
      <c r="S160" s="26">
        <v>9.1753591812635307</v>
      </c>
    </row>
    <row r="161" spans="1:19">
      <c r="A161" s="29" t="s">
        <v>199</v>
      </c>
      <c r="B161" s="29" t="s">
        <v>34</v>
      </c>
      <c r="C161" s="38">
        <v>45330</v>
      </c>
      <c r="D161" s="29" t="s">
        <v>57</v>
      </c>
      <c r="E161" s="29" t="s">
        <v>43</v>
      </c>
      <c r="F161" s="14">
        <v>1889</v>
      </c>
      <c r="G161" s="14">
        <v>298</v>
      </c>
      <c r="H161" s="14">
        <v>122</v>
      </c>
      <c r="I161" s="14">
        <v>46225</v>
      </c>
      <c r="J161" s="14">
        <v>74305</v>
      </c>
      <c r="K161" s="14">
        <v>293</v>
      </c>
      <c r="L161" s="29" t="s">
        <v>23</v>
      </c>
      <c r="M161" s="29" t="s">
        <v>18</v>
      </c>
      <c r="N161" s="29" t="s">
        <v>58</v>
      </c>
      <c r="O161" s="29" t="str">
        <f>IF(AND(C161&gt;='Task 1.2'!$B$2,C161&lt;='Task 1.2'!$C$2),"During","Before")</f>
        <v>Before</v>
      </c>
      <c r="P161" s="26">
        <f ca="1">AVERAGEIF(O161:O459,"Before",Posts[[#This Row],[engagement rate]])</f>
        <v>9.4843058484272955</v>
      </c>
      <c r="Q161" s="26">
        <f t="shared" si="3"/>
        <v>8.5218089457114292</v>
      </c>
      <c r="R161" s="26">
        <f ca="1">Posts[[#This Row],[Avg. During]]-Posts[[#This Row],[Avg. Before]]/Posts[[#This Row],[Avg. Before]]</f>
        <v>7.5218089457114292</v>
      </c>
      <c r="S161" s="26">
        <v>5.6289886425094648</v>
      </c>
    </row>
    <row r="162" spans="1:19">
      <c r="A162" s="29" t="s">
        <v>200</v>
      </c>
      <c r="B162" s="29" t="s">
        <v>15</v>
      </c>
      <c r="C162" s="38">
        <v>45803</v>
      </c>
      <c r="D162" s="29" t="s">
        <v>16</v>
      </c>
      <c r="E162" s="29" t="s">
        <v>17</v>
      </c>
      <c r="F162" s="14">
        <v>3086</v>
      </c>
      <c r="G162" s="14">
        <v>148</v>
      </c>
      <c r="H162" s="14">
        <v>310</v>
      </c>
      <c r="I162" s="14">
        <v>22824</v>
      </c>
      <c r="J162" s="14">
        <v>58103</v>
      </c>
      <c r="K162" s="14">
        <v>275</v>
      </c>
      <c r="L162" s="29" t="s">
        <v>23</v>
      </c>
      <c r="M162" s="29" t="s">
        <v>24</v>
      </c>
      <c r="N162" s="29" t="s">
        <v>25</v>
      </c>
      <c r="O162" s="29" t="str">
        <f>IF(AND(C162&gt;='Task 1.2'!$B$2,C162&lt;='Task 1.2'!$C$2),"During","Before")</f>
        <v>Before</v>
      </c>
      <c r="P162" s="26">
        <f ca="1">AVERAGEIF(O162:O460,"Before",Posts[[#This Row],[engagement rate]])</f>
        <v>9.5144255140985301</v>
      </c>
      <c r="Q162" s="26">
        <f t="shared" si="3"/>
        <v>6.5499622365830765</v>
      </c>
      <c r="R162" s="26">
        <f ca="1">Posts[[#This Row],[Avg. During]]-Posts[[#This Row],[Avg. Before]]/Posts[[#This Row],[Avg. Before]]</f>
        <v>5.5499622365830765</v>
      </c>
      <c r="S162" s="26">
        <v>16.732386961093585</v>
      </c>
    </row>
    <row r="163" spans="1:19">
      <c r="A163" s="29" t="s">
        <v>201</v>
      </c>
      <c r="B163" s="29" t="s">
        <v>15</v>
      </c>
      <c r="C163" s="38">
        <v>45610</v>
      </c>
      <c r="D163" s="29" t="s">
        <v>16</v>
      </c>
      <c r="E163" s="29" t="s">
        <v>35</v>
      </c>
      <c r="F163" s="14">
        <v>2422</v>
      </c>
      <c r="G163" s="14">
        <v>318</v>
      </c>
      <c r="H163" s="14">
        <v>118</v>
      </c>
      <c r="I163" s="14">
        <v>25386</v>
      </c>
      <c r="J163" s="14">
        <v>20873</v>
      </c>
      <c r="K163" s="14">
        <v>100</v>
      </c>
      <c r="L163" s="29" t="s">
        <v>18</v>
      </c>
      <c r="M163" s="29" t="s">
        <v>19</v>
      </c>
      <c r="N163" s="29" t="s">
        <v>20</v>
      </c>
      <c r="O163" s="29" t="str">
        <f>IF(AND(C163&gt;='Task 1.2'!$B$2,C163&lt;='Task 1.2'!$C$2),"During","Before")</f>
        <v>Before</v>
      </c>
      <c r="P163" s="26">
        <f ca="1">AVERAGEIF(O163:O461,"Before",Posts[[#This Row],[engagement rate]])</f>
        <v>9.4575911719962065</v>
      </c>
      <c r="Q163" s="26">
        <f t="shared" si="3"/>
        <v>10.327845657068453</v>
      </c>
      <c r="R163" s="26">
        <f ca="1">Posts[[#This Row],[Avg. During]]-Posts[[#This Row],[Avg. Before]]/Posts[[#This Row],[Avg. Before]]</f>
        <v>9.3278456570684529</v>
      </c>
      <c r="S163" s="26">
        <v>11.652091704088868</v>
      </c>
    </row>
    <row r="164" spans="1:19">
      <c r="A164" s="29" t="s">
        <v>202</v>
      </c>
      <c r="B164" s="29" t="s">
        <v>34</v>
      </c>
      <c r="C164" s="38">
        <v>45513</v>
      </c>
      <c r="D164" s="29" t="s">
        <v>57</v>
      </c>
      <c r="E164" s="29" t="s">
        <v>49</v>
      </c>
      <c r="F164" s="14">
        <v>3414</v>
      </c>
      <c r="G164" s="14">
        <v>154</v>
      </c>
      <c r="H164" s="14">
        <v>204</v>
      </c>
      <c r="I164" s="14">
        <v>34146</v>
      </c>
      <c r="J164" s="14">
        <v>44633</v>
      </c>
      <c r="K164" s="14">
        <v>256</v>
      </c>
      <c r="L164" s="29" t="s">
        <v>23</v>
      </c>
      <c r="M164" s="29" t="s">
        <v>18</v>
      </c>
      <c r="N164" s="29" t="s">
        <v>58</v>
      </c>
      <c r="O164" s="29" t="str">
        <f>IF(AND(C164&gt;='Task 1.2'!$B$2,C164&lt;='Task 1.2'!$C$2),"During","Before")</f>
        <v>Before</v>
      </c>
      <c r="P164" s="26">
        <f ca="1">AVERAGEIF(O164:O462,"Before",Posts[[#This Row],[engagement rate]])</f>
        <v>9.440174501106581</v>
      </c>
      <c r="Q164" s="26">
        <f t="shared" si="3"/>
        <v>6.0751101166601629</v>
      </c>
      <c r="R164" s="26">
        <f ca="1">Posts[[#This Row],[Avg. During]]-Posts[[#This Row],[Avg. Before]]/Posts[[#This Row],[Avg. Before]]</f>
        <v>5.0751101166601629</v>
      </c>
      <c r="S164" s="26">
        <v>11.796403678322498</v>
      </c>
    </row>
    <row r="165" spans="1:19">
      <c r="A165" s="29" t="s">
        <v>203</v>
      </c>
      <c r="B165" s="29" t="s">
        <v>15</v>
      </c>
      <c r="C165" s="38">
        <v>45835</v>
      </c>
      <c r="D165" s="29" t="s">
        <v>28</v>
      </c>
      <c r="E165" s="29" t="s">
        <v>38</v>
      </c>
      <c r="F165" s="14">
        <v>1342</v>
      </c>
      <c r="G165" s="14">
        <v>332</v>
      </c>
      <c r="H165" s="14">
        <v>163</v>
      </c>
      <c r="I165" s="14">
        <v>51712</v>
      </c>
      <c r="J165" s="14">
        <v>57922</v>
      </c>
      <c r="K165" s="14">
        <v>168</v>
      </c>
      <c r="L165" s="29" t="s">
        <v>19</v>
      </c>
      <c r="M165" s="29" t="s">
        <v>24</v>
      </c>
      <c r="N165" s="29" t="s">
        <v>55</v>
      </c>
      <c r="O165" s="29" t="str">
        <f>IF(AND(C165&gt;='Task 1.2'!$B$2,C165&lt;='Task 1.2'!$C$2),"During","Before")</f>
        <v>Before</v>
      </c>
      <c r="P165" s="26">
        <f ca="1">AVERAGEIF(O165:O463,"Before",Posts[[#This Row],[engagement rate]])</f>
        <v>9.421324667688852</v>
      </c>
      <c r="Q165" s="26">
        <f t="shared" si="3"/>
        <v>10.056312805489737</v>
      </c>
      <c r="R165" s="26">
        <f ca="1">Posts[[#This Row],[Avg. During]]-Posts[[#This Row],[Avg. Before]]/Posts[[#This Row],[Avg. Before]]</f>
        <v>9.0563128054897373</v>
      </c>
      <c r="S165" s="26">
        <v>3.8772431930693068</v>
      </c>
    </row>
    <row r="166" spans="1:19">
      <c r="A166" s="29" t="s">
        <v>204</v>
      </c>
      <c r="B166" s="29" t="s">
        <v>15</v>
      </c>
      <c r="C166" s="38">
        <v>45420</v>
      </c>
      <c r="D166" s="29" t="s">
        <v>28</v>
      </c>
      <c r="E166" s="29" t="s">
        <v>35</v>
      </c>
      <c r="F166" s="14">
        <v>2414</v>
      </c>
      <c r="G166" s="14">
        <v>220</v>
      </c>
      <c r="H166" s="14">
        <v>280</v>
      </c>
      <c r="I166" s="14">
        <v>27355</v>
      </c>
      <c r="J166" s="14">
        <v>50562</v>
      </c>
      <c r="K166" s="14">
        <v>258</v>
      </c>
      <c r="L166" s="29" t="s">
        <v>19</v>
      </c>
      <c r="M166" s="29" t="s">
        <v>24</v>
      </c>
      <c r="N166" s="29" t="s">
        <v>55</v>
      </c>
      <c r="O166" s="29" t="str">
        <f>IF(AND(C166&gt;='Task 1.2'!$B$2,C166&lt;='Task 1.2'!$C$2),"During","Before")</f>
        <v>Before</v>
      </c>
      <c r="P166" s="26">
        <f ca="1">AVERAGEIF(O166:O464,"Before",Posts[[#This Row],[engagement rate]])</f>
        <v>9.4660350021615915</v>
      </c>
      <c r="Q166" s="26">
        <f t="shared" si="3"/>
        <v>10.504949682254038</v>
      </c>
      <c r="R166" s="26">
        <f ca="1">Posts[[#This Row],[Avg. During]]-Posts[[#This Row],[Avg. Before]]/Posts[[#This Row],[Avg. Before]]</f>
        <v>9.504949682254038</v>
      </c>
      <c r="S166" s="26">
        <v>11.595686346188996</v>
      </c>
    </row>
    <row r="167" spans="1:19">
      <c r="A167" s="29" t="s">
        <v>205</v>
      </c>
      <c r="B167" s="29" t="s">
        <v>15</v>
      </c>
      <c r="C167" s="38">
        <v>45387</v>
      </c>
      <c r="D167" s="29" t="s">
        <v>16</v>
      </c>
      <c r="E167" s="29" t="s">
        <v>29</v>
      </c>
      <c r="F167" s="14">
        <v>4383</v>
      </c>
      <c r="G167" s="14">
        <v>352</v>
      </c>
      <c r="H167" s="14">
        <v>176</v>
      </c>
      <c r="I167" s="14">
        <v>53239</v>
      </c>
      <c r="J167" s="14">
        <v>34168</v>
      </c>
      <c r="K167" s="14">
        <v>288</v>
      </c>
      <c r="L167" s="29" t="s">
        <v>23</v>
      </c>
      <c r="M167" s="29" t="s">
        <v>24</v>
      </c>
      <c r="N167" s="29" t="s">
        <v>25</v>
      </c>
      <c r="O167" s="29" t="str">
        <f>IF(AND(C167&gt;='Task 1.2'!$B$2,C167&lt;='Task 1.2'!$C$2),"During","Before")</f>
        <v>Before</v>
      </c>
      <c r="P167" s="26">
        <f ca="1">AVERAGEIF(O167:O465,"Before",Posts[[#This Row],[engagement rate]])</f>
        <v>9.448720763592263</v>
      </c>
      <c r="Q167" s="26">
        <f t="shared" si="3"/>
        <v>6.3705557152931549</v>
      </c>
      <c r="R167" s="26">
        <f ca="1">Posts[[#This Row],[Avg. During]]-Posts[[#This Row],[Avg. Before]]/Posts[[#This Row],[Avg. Before]]</f>
        <v>5.3705557152931549</v>
      </c>
      <c r="S167" s="26">
        <v>9.7653975469110996</v>
      </c>
    </row>
    <row r="168" spans="1:19">
      <c r="A168" s="29" t="s">
        <v>206</v>
      </c>
      <c r="B168" s="29" t="s">
        <v>34</v>
      </c>
      <c r="C168" s="38">
        <v>45684</v>
      </c>
      <c r="D168" s="29" t="s">
        <v>16</v>
      </c>
      <c r="E168" s="29" t="s">
        <v>32</v>
      </c>
      <c r="F168" s="14">
        <v>4294</v>
      </c>
      <c r="G168" s="14">
        <v>423</v>
      </c>
      <c r="H168" s="14">
        <v>93</v>
      </c>
      <c r="I168" s="14">
        <v>29828</v>
      </c>
      <c r="J168" s="14">
        <v>73144</v>
      </c>
      <c r="K168" s="14">
        <v>298</v>
      </c>
      <c r="L168" s="29" t="s">
        <v>23</v>
      </c>
      <c r="M168" s="29" t="s">
        <v>36</v>
      </c>
      <c r="N168" s="29" t="s">
        <v>25</v>
      </c>
      <c r="O168" s="29" t="str">
        <f>IF(AND(C168&gt;='Task 1.2'!$B$2,C168&lt;='Task 1.2'!$C$2),"During","Before")</f>
        <v>Before</v>
      </c>
      <c r="P168" s="26">
        <f ca="1">AVERAGEIF(O168:O466,"Before",Posts[[#This Row],[engagement rate]])</f>
        <v>9.4461250522535849</v>
      </c>
      <c r="Q168" s="26">
        <f t="shared" si="3"/>
        <v>11.024356664511657</v>
      </c>
      <c r="R168" s="26">
        <f ca="1">Posts[[#This Row],[Avg. During]]-Posts[[#This Row],[Avg. Before]]/Posts[[#This Row],[Avg. Before]]</f>
        <v>10.024356664511657</v>
      </c>
      <c r="S168" s="26">
        <v>17.1248491350409</v>
      </c>
    </row>
    <row r="169" spans="1:19">
      <c r="A169" s="29" t="s">
        <v>207</v>
      </c>
      <c r="B169" s="29" t="s">
        <v>15</v>
      </c>
      <c r="C169" s="38">
        <v>45385</v>
      </c>
      <c r="D169" s="29" t="s">
        <v>16</v>
      </c>
      <c r="E169" s="29" t="s">
        <v>43</v>
      </c>
      <c r="F169" s="14">
        <v>2762</v>
      </c>
      <c r="G169" s="14">
        <v>339</v>
      </c>
      <c r="H169" s="14">
        <v>323</v>
      </c>
      <c r="I169" s="14">
        <v>33757</v>
      </c>
      <c r="J169" s="14">
        <v>68511</v>
      </c>
      <c r="K169" s="14">
        <v>121</v>
      </c>
      <c r="L169" s="29" t="s">
        <v>18</v>
      </c>
      <c r="M169" s="29" t="s">
        <v>19</v>
      </c>
      <c r="N169" s="29" t="s">
        <v>20</v>
      </c>
      <c r="O169" s="29" t="str">
        <f>IF(AND(C169&gt;='Task 1.2'!$B$2,C169&lt;='Task 1.2'!$C$2),"During","Before")</f>
        <v>Before</v>
      </c>
      <c r="P169" s="26">
        <f ca="1">AVERAGEIF(O169:O467,"Before",Posts[[#This Row],[engagement rate]])</f>
        <v>9.3826645226437702</v>
      </c>
      <c r="Q169" s="26">
        <f t="shared" si="3"/>
        <v>11.210055876660475</v>
      </c>
      <c r="R169" s="26">
        <f ca="1">Posts[[#This Row],[Avg. During]]-Posts[[#This Row],[Avg. Before]]/Posts[[#This Row],[Avg. Before]]</f>
        <v>10.210055876660475</v>
      </c>
      <c r="S169" s="26">
        <v>10.501525609503213</v>
      </c>
    </row>
    <row r="170" spans="1:19">
      <c r="A170" s="29" t="s">
        <v>208</v>
      </c>
      <c r="B170" s="29" t="s">
        <v>34</v>
      </c>
      <c r="C170" s="38">
        <v>45660</v>
      </c>
      <c r="D170" s="29" t="s">
        <v>16</v>
      </c>
      <c r="E170" s="29" t="s">
        <v>29</v>
      </c>
      <c r="F170" s="14">
        <v>3782</v>
      </c>
      <c r="G170" s="14">
        <v>484</v>
      </c>
      <c r="H170" s="14">
        <v>144</v>
      </c>
      <c r="I170" s="14">
        <v>52172</v>
      </c>
      <c r="J170" s="14">
        <v>59386</v>
      </c>
      <c r="K170" s="14">
        <v>175</v>
      </c>
      <c r="L170" s="29" t="s">
        <v>23</v>
      </c>
      <c r="M170" s="29" t="s">
        <v>36</v>
      </c>
      <c r="N170" s="29" t="s">
        <v>25</v>
      </c>
      <c r="O170" s="29" t="str">
        <f>IF(AND(C170&gt;='Task 1.2'!$B$2,C170&lt;='Task 1.2'!$C$2),"During","Before")</f>
        <v>Before</v>
      </c>
      <c r="P170" s="26">
        <f ca="1">AVERAGEIF(O170:O468,"Before",Posts[[#This Row],[engagement rate]])</f>
        <v>9.3733406802532766</v>
      </c>
      <c r="Q170" s="26">
        <f t="shared" si="3"/>
        <v>10.905480704146035</v>
      </c>
      <c r="R170" s="26">
        <f ca="1">Posts[[#This Row],[Avg. During]]-Posts[[#This Row],[Avg. Before]]/Posts[[#This Row],[Avg. Before]]</f>
        <v>9.9054807041460347</v>
      </c>
      <c r="S170" s="26">
        <v>8.7882389020930756</v>
      </c>
    </row>
    <row r="171" spans="1:19">
      <c r="A171" s="29" t="s">
        <v>209</v>
      </c>
      <c r="B171" s="29" t="s">
        <v>27</v>
      </c>
      <c r="C171" s="38">
        <v>45619</v>
      </c>
      <c r="D171" s="29" t="s">
        <v>16</v>
      </c>
      <c r="E171" s="29" t="s">
        <v>29</v>
      </c>
      <c r="F171" s="14">
        <v>4318</v>
      </c>
      <c r="G171" s="14">
        <v>371</v>
      </c>
      <c r="H171" s="14">
        <v>329</v>
      </c>
      <c r="I171" s="14">
        <v>32347</v>
      </c>
      <c r="J171" s="14">
        <v>68956</v>
      </c>
      <c r="K171" s="14">
        <v>259</v>
      </c>
      <c r="L171" s="29" t="s">
        <v>18</v>
      </c>
      <c r="M171" s="29" t="s">
        <v>24</v>
      </c>
      <c r="N171" s="29" t="s">
        <v>25</v>
      </c>
      <c r="O171" s="29" t="str">
        <f>IF(AND(C171&gt;='Task 1.2'!$B$2,C171&lt;='Task 1.2'!$C$2),"During","Before")</f>
        <v>Before</v>
      </c>
      <c r="P171" s="26">
        <f ca="1">AVERAGEIF(O171:O469,"Before",Posts[[#This Row],[engagement rate]])</f>
        <v>9.3782575019184904</v>
      </c>
      <c r="Q171" s="26">
        <f t="shared" si="3"/>
        <v>13.070429546001462</v>
      </c>
      <c r="R171" s="26">
        <f ca="1">Posts[[#This Row],[Avg. During]]-Posts[[#This Row],[Avg. Before]]/Posts[[#This Row],[Avg. Before]]</f>
        <v>12.070429546001462</v>
      </c>
      <c r="S171" s="26">
        <v>16.313723065508391</v>
      </c>
    </row>
    <row r="172" spans="1:19">
      <c r="A172" s="29" t="s">
        <v>210</v>
      </c>
      <c r="B172" s="29" t="s">
        <v>15</v>
      </c>
      <c r="C172" s="38">
        <v>45536</v>
      </c>
      <c r="D172" s="29" t="s">
        <v>28</v>
      </c>
      <c r="E172" s="29" t="s">
        <v>32</v>
      </c>
      <c r="F172" s="14">
        <v>2335</v>
      </c>
      <c r="G172" s="14">
        <v>150</v>
      </c>
      <c r="H172" s="14">
        <v>75</v>
      </c>
      <c r="I172" s="14">
        <v>26114</v>
      </c>
      <c r="J172" s="14">
        <v>57549</v>
      </c>
      <c r="K172" s="14">
        <v>135</v>
      </c>
      <c r="L172" s="29" t="s">
        <v>19</v>
      </c>
      <c r="M172" s="29" t="s">
        <v>24</v>
      </c>
      <c r="N172" s="29" t="s">
        <v>55</v>
      </c>
      <c r="O172" s="29" t="str">
        <f>IF(AND(C172&gt;='Task 1.2'!$B$2,C172&lt;='Task 1.2'!$C$2),"During","Before")</f>
        <v>Before</v>
      </c>
      <c r="P172" s="26">
        <f ca="1">AVERAGEIF(O172:O470,"Before",Posts[[#This Row],[engagement rate]])</f>
        <v>9.3194823700236604</v>
      </c>
      <c r="Q172" s="26">
        <f t="shared" si="3"/>
        <v>11.376705325823778</v>
      </c>
      <c r="R172" s="26">
        <f ca="1">Posts[[#This Row],[Avg. During]]-Posts[[#This Row],[Avg. Before]]/Posts[[#This Row],[Avg. Before]]</f>
        <v>10.376705325823778</v>
      </c>
      <c r="S172" s="26">
        <v>10.320134793597305</v>
      </c>
    </row>
    <row r="173" spans="1:19">
      <c r="A173" s="29" t="s">
        <v>211</v>
      </c>
      <c r="B173" s="29" t="s">
        <v>34</v>
      </c>
      <c r="C173" s="38">
        <v>45400</v>
      </c>
      <c r="D173" s="29" t="s">
        <v>16</v>
      </c>
      <c r="E173" s="29" t="s">
        <v>22</v>
      </c>
      <c r="F173" s="14">
        <v>4023</v>
      </c>
      <c r="G173" s="14">
        <v>293</v>
      </c>
      <c r="H173" s="14">
        <v>91</v>
      </c>
      <c r="I173" s="14">
        <v>26795</v>
      </c>
      <c r="J173" s="14">
        <v>28924</v>
      </c>
      <c r="K173" s="14">
        <v>278</v>
      </c>
      <c r="L173" s="29" t="s">
        <v>23</v>
      </c>
      <c r="M173" s="29" t="s">
        <v>36</v>
      </c>
      <c r="N173" s="29" t="s">
        <v>25</v>
      </c>
      <c r="O173" s="29" t="str">
        <f>IF(AND(C173&gt;='Task 1.2'!$B$2,C173&lt;='Task 1.2'!$C$2),"During","Before")</f>
        <v>Before</v>
      </c>
      <c r="P173" s="26">
        <f ca="1">AVERAGEIF(O173:O471,"Before",Posts[[#This Row],[engagement rate]])</f>
        <v>9.3109297852067936</v>
      </c>
      <c r="Q173" s="26">
        <f t="shared" si="3"/>
        <v>10.356921359150091</v>
      </c>
      <c r="R173" s="26">
        <f ca="1">Posts[[#This Row],[Avg. During]]-Posts[[#This Row],[Avg. Before]]/Posts[[#This Row],[Avg. Before]]</f>
        <v>9.3569213591500908</v>
      </c>
      <c r="S173" s="26">
        <v>17.484605336816568</v>
      </c>
    </row>
    <row r="174" spans="1:19">
      <c r="A174" s="29" t="s">
        <v>212</v>
      </c>
      <c r="B174" s="29" t="s">
        <v>15</v>
      </c>
      <c r="C174" s="38">
        <v>45447</v>
      </c>
      <c r="D174" s="29" t="s">
        <v>16</v>
      </c>
      <c r="E174" s="29" t="s">
        <v>40</v>
      </c>
      <c r="F174" s="14">
        <v>3948</v>
      </c>
      <c r="G174" s="14">
        <v>151</v>
      </c>
      <c r="H174" s="14">
        <v>249</v>
      </c>
      <c r="I174" s="14">
        <v>43147</v>
      </c>
      <c r="J174" s="14">
        <v>63136</v>
      </c>
      <c r="K174" s="14">
        <v>230</v>
      </c>
      <c r="L174" s="29" t="s">
        <v>23</v>
      </c>
      <c r="M174" s="29" t="s">
        <v>24</v>
      </c>
      <c r="N174" s="29" t="s">
        <v>25</v>
      </c>
      <c r="O174" s="29" t="str">
        <f>IF(AND(C174&gt;='Task 1.2'!$B$2,C174&lt;='Task 1.2'!$C$2),"During","Before")</f>
        <v>Before</v>
      </c>
      <c r="P174" s="26">
        <f ca="1">AVERAGEIF(O174:O472,"Before",Posts[[#This Row],[engagement rate]])</f>
        <v>9.2404670649342933</v>
      </c>
      <c r="Q174" s="26">
        <f t="shared" si="3"/>
        <v>10.4287448960301</v>
      </c>
      <c r="R174" s="26">
        <f ca="1">Posts[[#This Row],[Avg. During]]-Posts[[#This Row],[Avg. Before]]/Posts[[#This Row],[Avg. Before]]</f>
        <v>9.4287448960300999</v>
      </c>
      <c r="S174" s="26">
        <v>10.610239414095997</v>
      </c>
    </row>
    <row r="175" spans="1:19">
      <c r="A175" s="29" t="s">
        <v>213</v>
      </c>
      <c r="B175" s="29" t="s">
        <v>34</v>
      </c>
      <c r="C175" s="38">
        <v>45749</v>
      </c>
      <c r="D175" s="29" t="s">
        <v>16</v>
      </c>
      <c r="E175" s="29" t="s">
        <v>32</v>
      </c>
      <c r="F175" s="14">
        <v>4598</v>
      </c>
      <c r="G175" s="14">
        <v>455</v>
      </c>
      <c r="H175" s="14">
        <v>378</v>
      </c>
      <c r="I175" s="14">
        <v>52952</v>
      </c>
      <c r="J175" s="14">
        <v>58504</v>
      </c>
      <c r="K175" s="14">
        <v>269</v>
      </c>
      <c r="L175" s="29" t="s">
        <v>23</v>
      </c>
      <c r="M175" s="29" t="s">
        <v>36</v>
      </c>
      <c r="N175" s="29" t="s">
        <v>25</v>
      </c>
      <c r="O175" s="29" t="str">
        <f>IF(AND(C175&gt;='Task 1.2'!$B$2,C175&lt;='Task 1.2'!$C$2),"During","Before")</f>
        <v>Before</v>
      </c>
      <c r="P175" s="26">
        <f ca="1">AVERAGEIF(O175:O473,"Before",Posts[[#This Row],[engagement rate]])</f>
        <v>9.2285560010285401</v>
      </c>
      <c r="Q175" s="26">
        <f t="shared" si="3"/>
        <v>10.407299558449093</v>
      </c>
      <c r="R175" s="26">
        <f ca="1">Posts[[#This Row],[Avg. During]]-Posts[[#This Row],[Avg. Before]]/Posts[[#This Row],[Avg. Before]]</f>
        <v>9.4072995584490933</v>
      </c>
      <c r="S175" s="26">
        <v>10.764465931409578</v>
      </c>
    </row>
    <row r="176" spans="1:19">
      <c r="A176" s="29" t="s">
        <v>214</v>
      </c>
      <c r="B176" s="29" t="s">
        <v>27</v>
      </c>
      <c r="C176" s="38">
        <v>45748</v>
      </c>
      <c r="D176" s="29" t="s">
        <v>28</v>
      </c>
      <c r="E176" s="29" t="s">
        <v>35</v>
      </c>
      <c r="F176" s="14">
        <v>2665</v>
      </c>
      <c r="G176" s="14">
        <v>143</v>
      </c>
      <c r="H176" s="14">
        <v>315</v>
      </c>
      <c r="I176" s="14">
        <v>54808</v>
      </c>
      <c r="J176" s="14">
        <v>29818</v>
      </c>
      <c r="K176" s="14">
        <v>98</v>
      </c>
      <c r="L176" s="29" t="s">
        <v>23</v>
      </c>
      <c r="M176" s="29" t="s">
        <v>30</v>
      </c>
      <c r="N176" s="29" t="s">
        <v>20</v>
      </c>
      <c r="O176" s="29" t="str">
        <f>IF(AND(C176&gt;='Task 1.2'!$B$2,C176&lt;='Task 1.2'!$C$2),"During","Before")</f>
        <v>Before</v>
      </c>
      <c r="P176" s="26">
        <f ca="1">AVERAGEIF(O176:O474,"Before",Posts[[#This Row],[engagement rate]])</f>
        <v>9.2150831069023909</v>
      </c>
      <c r="Q176" s="26">
        <f t="shared" si="3"/>
        <v>9.8851069272059728</v>
      </c>
      <c r="R176" s="26">
        <f ca="1">Posts[[#This Row],[Avg. During]]-Posts[[#This Row],[Avg. Before]]/Posts[[#This Row],[Avg. Before]]</f>
        <v>8.8851069272059728</v>
      </c>
      <c r="S176" s="26">
        <v>5.8768792876952265</v>
      </c>
    </row>
    <row r="177" spans="1:19">
      <c r="A177" s="29" t="s">
        <v>215</v>
      </c>
      <c r="B177" s="29" t="s">
        <v>15</v>
      </c>
      <c r="C177" s="38">
        <v>45475</v>
      </c>
      <c r="D177" s="29" t="s">
        <v>16</v>
      </c>
      <c r="E177" s="29" t="s">
        <v>43</v>
      </c>
      <c r="F177" s="14">
        <v>3469</v>
      </c>
      <c r="G177" s="14">
        <v>371</v>
      </c>
      <c r="H177" s="14">
        <v>76</v>
      </c>
      <c r="I177" s="14">
        <v>46493</v>
      </c>
      <c r="J177" s="14">
        <v>26906</v>
      </c>
      <c r="K177" s="14">
        <v>150</v>
      </c>
      <c r="L177" s="29" t="s">
        <v>18</v>
      </c>
      <c r="M177" s="29" t="s">
        <v>19</v>
      </c>
      <c r="N177" s="29" t="s">
        <v>20</v>
      </c>
      <c r="O177" s="29" t="str">
        <f>IF(AND(C177&gt;='Task 1.2'!$B$2,C177&lt;='Task 1.2'!$C$2),"During","Before")</f>
        <v>During</v>
      </c>
      <c r="P177" s="26">
        <f ca="1">AVERAGEIF(O177:O475,"Before",Posts[[#This Row],[engagement rate]])</f>
        <v>9.2446247336210376</v>
      </c>
      <c r="Q177" s="26">
        <f t="shared" si="3"/>
        <v>6.7370586429858266</v>
      </c>
      <c r="R177" s="26">
        <f ca="1">Posts[[#This Row],[Avg. During]]-Posts[[#This Row],[Avg. Before]]/Posts[[#This Row],[Avg. Before]]</f>
        <v>5.7370586429858266</v>
      </c>
      <c r="S177" s="26">
        <v>8.7454025337147527</v>
      </c>
    </row>
    <row r="178" spans="1:19">
      <c r="A178" s="29" t="s">
        <v>216</v>
      </c>
      <c r="B178" s="29" t="s">
        <v>27</v>
      </c>
      <c r="C178" s="38">
        <v>45606</v>
      </c>
      <c r="D178" s="29" t="s">
        <v>16</v>
      </c>
      <c r="E178" s="29" t="s">
        <v>22</v>
      </c>
      <c r="F178" s="14">
        <v>4823</v>
      </c>
      <c r="G178" s="14">
        <v>489</v>
      </c>
      <c r="H178" s="14">
        <v>302</v>
      </c>
      <c r="I178" s="14">
        <v>32470</v>
      </c>
      <c r="J178" s="14">
        <v>31861</v>
      </c>
      <c r="K178" s="14">
        <v>178</v>
      </c>
      <c r="L178" s="29" t="s">
        <v>18</v>
      </c>
      <c r="M178" s="29" t="s">
        <v>24</v>
      </c>
      <c r="N178" s="29" t="s">
        <v>25</v>
      </c>
      <c r="O178" s="29" t="str">
        <f>IF(AND(C178&gt;='Task 1.2'!$B$2,C178&lt;='Task 1.2'!$C$2),"During","Before")</f>
        <v>Before</v>
      </c>
      <c r="P178" s="26">
        <f ca="1">AVERAGEIF(O178:O476,"Before",Posts[[#This Row],[engagement rate]])</f>
        <v>9.2446247336210376</v>
      </c>
      <c r="Q178" s="26">
        <f t="shared" si="3"/>
        <v>11.949631455565687</v>
      </c>
      <c r="R178" s="26">
        <f ca="1">Posts[[#This Row],[Avg. During]]-Posts[[#This Row],[Avg. Before]]/Posts[[#This Row],[Avg. Before]]</f>
        <v>10.949631455565687</v>
      </c>
      <c r="S178" s="26">
        <v>17.838004311672311</v>
      </c>
    </row>
    <row r="179" spans="1:19">
      <c r="A179" s="29" t="s">
        <v>217</v>
      </c>
      <c r="B179" s="29" t="s">
        <v>15</v>
      </c>
      <c r="C179" s="38">
        <v>45640</v>
      </c>
      <c r="D179" s="29" t="s">
        <v>28</v>
      </c>
      <c r="E179" s="29" t="s">
        <v>49</v>
      </c>
      <c r="F179" s="14">
        <v>3812</v>
      </c>
      <c r="G179" s="14">
        <v>321</v>
      </c>
      <c r="H179" s="14">
        <v>289</v>
      </c>
      <c r="I179" s="14">
        <v>59838</v>
      </c>
      <c r="J179" s="14">
        <v>36337</v>
      </c>
      <c r="K179" s="14">
        <v>161</v>
      </c>
      <c r="L179" s="29" t="s">
        <v>19</v>
      </c>
      <c r="M179" s="29" t="s">
        <v>24</v>
      </c>
      <c r="N179" s="29" t="s">
        <v>55</v>
      </c>
      <c r="O179" s="29" t="str">
        <f>IF(AND(C179&gt;='Task 1.2'!$B$2,C179&lt;='Task 1.2'!$C$2),"During","Before")</f>
        <v>Before</v>
      </c>
      <c r="P179" s="26">
        <f ca="1">AVERAGEIF(O179:O477,"Before",Posts[[#This Row],[engagement rate]])</f>
        <v>9.1678981302455789</v>
      </c>
      <c r="Q179" s="26">
        <f t="shared" si="3"/>
        <v>7.3599846005461851</v>
      </c>
      <c r="R179" s="26">
        <f ca="1">Posts[[#This Row],[Avg. During]]-Posts[[#This Row],[Avg. Before]]/Posts[[#This Row],[Avg. Before]]</f>
        <v>6.3599846005461851</v>
      </c>
      <c r="S179" s="26">
        <v>7.6590126675356789</v>
      </c>
    </row>
    <row r="180" spans="1:19">
      <c r="A180" s="29" t="s">
        <v>218</v>
      </c>
      <c r="B180" s="29" t="s">
        <v>27</v>
      </c>
      <c r="C180" s="38">
        <v>45615</v>
      </c>
      <c r="D180" s="29" t="s">
        <v>16</v>
      </c>
      <c r="E180" s="29" t="s">
        <v>22</v>
      </c>
      <c r="F180" s="14">
        <v>2387</v>
      </c>
      <c r="G180" s="14">
        <v>353</v>
      </c>
      <c r="H180" s="14">
        <v>78</v>
      </c>
      <c r="I180" s="14">
        <v>39745</v>
      </c>
      <c r="J180" s="14">
        <v>69226</v>
      </c>
      <c r="K180" s="14">
        <v>208</v>
      </c>
      <c r="L180" s="29" t="s">
        <v>18</v>
      </c>
      <c r="M180" s="29" t="s">
        <v>24</v>
      </c>
      <c r="N180" s="29" t="s">
        <v>25</v>
      </c>
      <c r="O180" s="29" t="str">
        <f>IF(AND(C180&gt;='Task 1.2'!$B$2,C180&lt;='Task 1.2'!$C$2),"During","Before")</f>
        <v>Before</v>
      </c>
      <c r="P180" s="26">
        <f ca="1">AVERAGEIF(O180:O478,"Before",Posts[[#This Row],[engagement rate]])</f>
        <v>9.1814916929726955</v>
      </c>
      <c r="Q180" s="26">
        <f t="shared" si="3"/>
        <v>7.2361721849462812</v>
      </c>
      <c r="R180" s="26">
        <f ca="1">Posts[[#This Row],[Avg. During]]-Posts[[#This Row],[Avg. Before]]/Posts[[#This Row],[Avg. Before]]</f>
        <v>6.2361721849462812</v>
      </c>
      <c r="S180" s="26">
        <v>7.6135362938734437</v>
      </c>
    </row>
    <row r="181" spans="1:19">
      <c r="A181" s="29" t="s">
        <v>219</v>
      </c>
      <c r="B181" s="29" t="s">
        <v>27</v>
      </c>
      <c r="C181" s="38">
        <v>45777</v>
      </c>
      <c r="D181" s="29" t="s">
        <v>28</v>
      </c>
      <c r="E181" s="29" t="s">
        <v>32</v>
      </c>
      <c r="F181" s="14">
        <v>3929</v>
      </c>
      <c r="G181" s="14">
        <v>275</v>
      </c>
      <c r="H181" s="14">
        <v>330</v>
      </c>
      <c r="I181" s="14">
        <v>58329</v>
      </c>
      <c r="J181" s="14">
        <v>33196</v>
      </c>
      <c r="K181" s="14">
        <v>85</v>
      </c>
      <c r="L181" s="29" t="s">
        <v>30</v>
      </c>
      <c r="M181" s="29" t="s">
        <v>19</v>
      </c>
      <c r="N181" s="29" t="s">
        <v>20</v>
      </c>
      <c r="O181" s="29" t="str">
        <f>IF(AND(C181&gt;='Task 1.2'!$B$2,C181&lt;='Task 1.2'!$C$2),"During","Before")</f>
        <v>Before</v>
      </c>
      <c r="P181" s="26">
        <f ca="1">AVERAGEIF(O181:O479,"Before",Posts[[#This Row],[engagement rate]])</f>
        <v>9.1957458329645068</v>
      </c>
      <c r="Q181" s="26">
        <f t="shared" si="3"/>
        <v>10.11656122673809</v>
      </c>
      <c r="R181" s="26">
        <f ca="1">Posts[[#This Row],[Avg. During]]-Posts[[#This Row],[Avg. Before]]/Posts[[#This Row],[Avg. Before]]</f>
        <v>9.1165612267380904</v>
      </c>
      <c r="S181" s="26">
        <v>7.918873973495173</v>
      </c>
    </row>
    <row r="182" spans="1:19">
      <c r="A182" s="29" t="s">
        <v>220</v>
      </c>
      <c r="B182" s="29" t="s">
        <v>27</v>
      </c>
      <c r="C182" s="38">
        <v>45370</v>
      </c>
      <c r="D182" s="29" t="s">
        <v>16</v>
      </c>
      <c r="E182" s="29" t="s">
        <v>49</v>
      </c>
      <c r="F182" s="14">
        <v>2191</v>
      </c>
      <c r="G182" s="14">
        <v>288</v>
      </c>
      <c r="H182" s="14">
        <v>83</v>
      </c>
      <c r="I182" s="14">
        <v>59606</v>
      </c>
      <c r="J182" s="14">
        <v>24765</v>
      </c>
      <c r="K182" s="14">
        <v>281</v>
      </c>
      <c r="L182" s="29" t="s">
        <v>18</v>
      </c>
      <c r="M182" s="29" t="s">
        <v>24</v>
      </c>
      <c r="N182" s="29" t="s">
        <v>25</v>
      </c>
      <c r="O182" s="29" t="str">
        <f>IF(AND(C182&gt;='Task 1.2'!$B$2,C182&lt;='Task 1.2'!$C$2),"During","Before")</f>
        <v>Before</v>
      </c>
      <c r="P182" s="26">
        <f ca="1">AVERAGEIF(O182:O480,"Before",Posts[[#This Row],[engagement rate]])</f>
        <v>9.2074602536935828</v>
      </c>
      <c r="Q182" s="26">
        <f t="shared" si="3"/>
        <v>9.65714613680057</v>
      </c>
      <c r="R182" s="26">
        <f ca="1">Posts[[#This Row],[Avg. During]]-Posts[[#This Row],[Avg. Before]]/Posts[[#This Row],[Avg. Before]]</f>
        <v>8.65714613680057</v>
      </c>
      <c r="S182" s="26">
        <v>4.7696540616716439</v>
      </c>
    </row>
    <row r="183" spans="1:19">
      <c r="A183" s="29" t="s">
        <v>221</v>
      </c>
      <c r="B183" s="29" t="s">
        <v>15</v>
      </c>
      <c r="C183" s="38">
        <v>45370</v>
      </c>
      <c r="D183" s="29" t="s">
        <v>16</v>
      </c>
      <c r="E183" s="29" t="s">
        <v>49</v>
      </c>
      <c r="F183" s="14">
        <v>2878</v>
      </c>
      <c r="G183" s="14">
        <v>278</v>
      </c>
      <c r="H183" s="14">
        <v>255</v>
      </c>
      <c r="I183" s="14">
        <v>47235</v>
      </c>
      <c r="J183" s="14">
        <v>57922</v>
      </c>
      <c r="K183" s="14">
        <v>112</v>
      </c>
      <c r="L183" s="29" t="s">
        <v>18</v>
      </c>
      <c r="M183" s="29" t="s">
        <v>19</v>
      </c>
      <c r="N183" s="29" t="s">
        <v>20</v>
      </c>
      <c r="O183" s="29" t="str">
        <f>IF(AND(C183&gt;='Task 1.2'!$B$2,C183&lt;='Task 1.2'!$C$2),"During","Before")</f>
        <v>Before</v>
      </c>
      <c r="P183" s="26">
        <f ca="1">AVERAGEIF(O183:O481,"Before",Posts[[#This Row],[engagement rate]])</f>
        <v>9.2485510517678602</v>
      </c>
      <c r="Q183" s="26">
        <f t="shared" si="3"/>
        <v>6.9185697935118329</v>
      </c>
      <c r="R183" s="26">
        <f ca="1">Posts[[#This Row],[Avg. During]]-Posts[[#This Row],[Avg. Before]]/Posts[[#This Row],[Avg. Before]]</f>
        <v>5.9185697935118329</v>
      </c>
      <c r="S183" s="26">
        <v>7.4584524187572772</v>
      </c>
    </row>
    <row r="184" spans="1:19">
      <c r="A184" s="29" t="s">
        <v>222</v>
      </c>
      <c r="B184" s="29" t="s">
        <v>27</v>
      </c>
      <c r="C184" s="38">
        <v>45496</v>
      </c>
      <c r="D184" s="29" t="s">
        <v>16</v>
      </c>
      <c r="E184" s="29" t="s">
        <v>43</v>
      </c>
      <c r="F184" s="14">
        <v>3204</v>
      </c>
      <c r="G184" s="14">
        <v>398</v>
      </c>
      <c r="H184" s="14">
        <v>85</v>
      </c>
      <c r="I184" s="14">
        <v>22020</v>
      </c>
      <c r="J184" s="14">
        <v>58353</v>
      </c>
      <c r="K184" s="14">
        <v>286</v>
      </c>
      <c r="L184" s="29" t="s">
        <v>18</v>
      </c>
      <c r="M184" s="29" t="s">
        <v>24</v>
      </c>
      <c r="N184" s="29" t="s">
        <v>25</v>
      </c>
      <c r="O184" s="29" t="str">
        <f>IF(AND(C184&gt;='Task 1.2'!$B$2,C184&lt;='Task 1.2'!$C$2),"During","Before")</f>
        <v>Before</v>
      </c>
      <c r="P184" s="26">
        <f ca="1">AVERAGEIF(O184:O482,"Before",Posts[[#This Row],[engagement rate]])</f>
        <v>9.2652809455343146</v>
      </c>
      <c r="Q184" s="26">
        <f t="shared" si="3"/>
        <v>9.6734916257026828</v>
      </c>
      <c r="R184" s="26">
        <f ca="1">Posts[[#This Row],[Avg. During]]-Posts[[#This Row],[Avg. Before]]/Posts[[#This Row],[Avg. Before]]</f>
        <v>8.6734916257026828</v>
      </c>
      <c r="S184" s="26">
        <v>18.042688465031791</v>
      </c>
    </row>
    <row r="185" spans="1:19">
      <c r="A185" s="29" t="s">
        <v>223</v>
      </c>
      <c r="B185" s="29" t="s">
        <v>27</v>
      </c>
      <c r="C185" s="38">
        <v>45486</v>
      </c>
      <c r="D185" s="29" t="s">
        <v>28</v>
      </c>
      <c r="E185" s="29" t="s">
        <v>40</v>
      </c>
      <c r="F185" s="14">
        <v>2408</v>
      </c>
      <c r="G185" s="14">
        <v>323</v>
      </c>
      <c r="H185" s="14">
        <v>251</v>
      </c>
      <c r="I185" s="14">
        <v>47599</v>
      </c>
      <c r="J185" s="14">
        <v>35543</v>
      </c>
      <c r="K185" s="14">
        <v>287</v>
      </c>
      <c r="L185" s="29" t="s">
        <v>30</v>
      </c>
      <c r="M185" s="29" t="s">
        <v>19</v>
      </c>
      <c r="N185" s="29" t="s">
        <v>20</v>
      </c>
      <c r="O185" s="29" t="str">
        <f>IF(AND(C185&gt;='Task 1.2'!$B$2,C185&lt;='Task 1.2'!$C$2),"During","Before")</f>
        <v>During</v>
      </c>
      <c r="P185" s="26">
        <f ca="1">AVERAGEIF(O185:O483,"Before",Posts[[#This Row],[engagement rate]])</f>
        <v>9.1824752142183002</v>
      </c>
      <c r="Q185" s="26">
        <f t="shared" si="3"/>
        <v>8.8669784291038169</v>
      </c>
      <c r="R185" s="26">
        <f ca="1">Posts[[#This Row],[Avg. During]]-Posts[[#This Row],[Avg. Before]]/Posts[[#This Row],[Avg. Before]]</f>
        <v>7.8669784291038169</v>
      </c>
      <c r="S185" s="26">
        <v>6.8677913401542039</v>
      </c>
    </row>
    <row r="186" spans="1:19">
      <c r="A186" s="29" t="s">
        <v>224</v>
      </c>
      <c r="B186" s="29" t="s">
        <v>34</v>
      </c>
      <c r="C186" s="38">
        <v>45769</v>
      </c>
      <c r="D186" s="29" t="s">
        <v>57</v>
      </c>
      <c r="E186" s="29" t="s">
        <v>29</v>
      </c>
      <c r="F186" s="14">
        <v>2733</v>
      </c>
      <c r="G186" s="14">
        <v>297</v>
      </c>
      <c r="H186" s="14">
        <v>235</v>
      </c>
      <c r="I186" s="14">
        <v>37980</v>
      </c>
      <c r="J186" s="14">
        <v>33058</v>
      </c>
      <c r="K186" s="14">
        <v>219</v>
      </c>
      <c r="L186" s="29" t="s">
        <v>23</v>
      </c>
      <c r="M186" s="29" t="s">
        <v>18</v>
      </c>
      <c r="N186" s="29" t="s">
        <v>58</v>
      </c>
      <c r="O186" s="29" t="str">
        <f>IF(AND(C186&gt;='Task 1.2'!$B$2,C186&lt;='Task 1.2'!$C$2),"During","Before")</f>
        <v>Before</v>
      </c>
      <c r="P186" s="26">
        <f ca="1">AVERAGEIF(O186:O484,"Before",Posts[[#This Row],[engagement rate]])</f>
        <v>9.1824752142183002</v>
      </c>
      <c r="Q186" s="26">
        <f t="shared" si="3"/>
        <v>8.0130025921729811</v>
      </c>
      <c r="R186" s="26">
        <f ca="1">Posts[[#This Row],[Avg. During]]-Posts[[#This Row],[Avg. Before]]/Posts[[#This Row],[Avg. Before]]</f>
        <v>7.0130025921729811</v>
      </c>
      <c r="S186" s="26">
        <v>9.1732490784623497</v>
      </c>
    </row>
    <row r="187" spans="1:19">
      <c r="A187" s="29" t="s">
        <v>225</v>
      </c>
      <c r="B187" s="29" t="s">
        <v>27</v>
      </c>
      <c r="C187" s="38">
        <v>45459</v>
      </c>
      <c r="D187" s="29" t="s">
        <v>28</v>
      </c>
      <c r="E187" s="29" t="s">
        <v>22</v>
      </c>
      <c r="F187" s="14">
        <v>4618</v>
      </c>
      <c r="G187" s="14">
        <v>312</v>
      </c>
      <c r="H187" s="14">
        <v>254</v>
      </c>
      <c r="I187" s="14">
        <v>22571</v>
      </c>
      <c r="J187" s="14">
        <v>29453</v>
      </c>
      <c r="K187" s="14">
        <v>197</v>
      </c>
      <c r="L187" s="29" t="s">
        <v>30</v>
      </c>
      <c r="M187" s="29" t="s">
        <v>19</v>
      </c>
      <c r="N187" s="29" t="s">
        <v>20</v>
      </c>
      <c r="O187" s="29" t="str">
        <f>IF(AND(C187&gt;='Task 1.2'!$B$2,C187&lt;='Task 1.2'!$C$2),"During","Before")</f>
        <v>During</v>
      </c>
      <c r="P187" s="26">
        <f ca="1">AVERAGEIF(O187:O485,"Before",Posts[[#This Row],[engagement rate]])</f>
        <v>9.1825630821778805</v>
      </c>
      <c r="Q187" s="26">
        <f t="shared" si="3"/>
        <v>10.455462267609629</v>
      </c>
      <c r="R187" s="26">
        <f ca="1">Posts[[#This Row],[Avg. During]]-Posts[[#This Row],[Avg. Before]]/Posts[[#This Row],[Avg. Before]]</f>
        <v>9.4554622676096294</v>
      </c>
      <c r="S187" s="26">
        <v>23.840326082140802</v>
      </c>
    </row>
    <row r="188" spans="1:19">
      <c r="A188" s="29" t="s">
        <v>226</v>
      </c>
      <c r="B188" s="29" t="s">
        <v>34</v>
      </c>
      <c r="C188" s="38">
        <v>45795</v>
      </c>
      <c r="D188" s="29" t="s">
        <v>57</v>
      </c>
      <c r="E188" s="29" t="s">
        <v>32</v>
      </c>
      <c r="F188" s="14">
        <v>4210</v>
      </c>
      <c r="G188" s="14">
        <v>319</v>
      </c>
      <c r="H188" s="14">
        <v>350</v>
      </c>
      <c r="I188" s="14">
        <v>37762</v>
      </c>
      <c r="J188" s="14">
        <v>55162</v>
      </c>
      <c r="K188" s="14">
        <v>204</v>
      </c>
      <c r="L188" s="29" t="s">
        <v>23</v>
      </c>
      <c r="M188" s="29" t="s">
        <v>18</v>
      </c>
      <c r="N188" s="29" t="s">
        <v>58</v>
      </c>
      <c r="O188" s="29" t="str">
        <f>IF(AND(C188&gt;='Task 1.2'!$B$2,C188&lt;='Task 1.2'!$C$2),"During","Before")</f>
        <v>Before</v>
      </c>
      <c r="P188" s="26">
        <f ca="1">AVERAGEIF(O188:O486,"Before",Posts[[#This Row],[engagement rate]])</f>
        <v>9.1825630821778805</v>
      </c>
      <c r="Q188" s="26">
        <f t="shared" si="3"/>
        <v>10.646790523301542</v>
      </c>
      <c r="R188" s="26">
        <f ca="1">Posts[[#This Row],[Avg. During]]-Posts[[#This Row],[Avg. Before]]/Posts[[#This Row],[Avg. Before]]</f>
        <v>9.6467905233015419</v>
      </c>
      <c r="S188" s="26">
        <v>13.460621789100152</v>
      </c>
    </row>
    <row r="189" spans="1:19">
      <c r="A189" s="29" t="s">
        <v>227</v>
      </c>
      <c r="B189" s="29" t="s">
        <v>15</v>
      </c>
      <c r="C189" s="38">
        <v>45814</v>
      </c>
      <c r="D189" s="29" t="s">
        <v>16</v>
      </c>
      <c r="E189" s="29" t="s">
        <v>32</v>
      </c>
      <c r="F189" s="14">
        <v>3987</v>
      </c>
      <c r="G189" s="14">
        <v>171</v>
      </c>
      <c r="H189" s="14">
        <v>274</v>
      </c>
      <c r="I189" s="14">
        <v>45122</v>
      </c>
      <c r="J189" s="14">
        <v>65431</v>
      </c>
      <c r="K189" s="14">
        <v>168</v>
      </c>
      <c r="L189" s="29" t="s">
        <v>23</v>
      </c>
      <c r="M189" s="29" t="s">
        <v>24</v>
      </c>
      <c r="N189" s="29" t="s">
        <v>25</v>
      </c>
      <c r="O189" s="29" t="str">
        <f>IF(AND(C189&gt;='Task 1.2'!$B$2,C189&lt;='Task 1.2'!$C$2),"During","Before")</f>
        <v>Before</v>
      </c>
      <c r="P189" s="26">
        <f ca="1">AVERAGEIF(O189:O487,"Before",Posts[[#This Row],[engagement rate]])</f>
        <v>9.1414279023036276</v>
      </c>
      <c r="Q189" s="26">
        <f t="shared" si="3"/>
        <v>9.6262559475437079</v>
      </c>
      <c r="R189" s="26">
        <f ca="1">Posts[[#This Row],[Avg. During]]-Posts[[#This Row],[Avg. Before]]/Posts[[#This Row],[Avg. Before]]</f>
        <v>8.6262559475437079</v>
      </c>
      <c r="S189" s="26">
        <v>10.194583573423163</v>
      </c>
    </row>
    <row r="190" spans="1:19">
      <c r="A190" s="29" t="s">
        <v>228</v>
      </c>
      <c r="B190" s="29" t="s">
        <v>34</v>
      </c>
      <c r="C190" s="38">
        <v>45708</v>
      </c>
      <c r="D190" s="29" t="s">
        <v>57</v>
      </c>
      <c r="E190" s="29" t="s">
        <v>40</v>
      </c>
      <c r="F190" s="14">
        <v>4957</v>
      </c>
      <c r="G190" s="14">
        <v>262</v>
      </c>
      <c r="H190" s="14">
        <v>365</v>
      </c>
      <c r="I190" s="14">
        <v>49199</v>
      </c>
      <c r="J190" s="14">
        <v>40314</v>
      </c>
      <c r="K190" s="14">
        <v>216</v>
      </c>
      <c r="L190" s="29" t="s">
        <v>23</v>
      </c>
      <c r="M190" s="29" t="s">
        <v>18</v>
      </c>
      <c r="N190" s="29" t="s">
        <v>58</v>
      </c>
      <c r="O190" s="29" t="str">
        <f>IF(AND(C190&gt;='Task 1.2'!$B$2,C190&lt;='Task 1.2'!$C$2),"During","Before")</f>
        <v>Before</v>
      </c>
      <c r="P190" s="26">
        <f ca="1">AVERAGEIF(O190:O488,"Before",Posts[[#This Row],[engagement rate]])</f>
        <v>9.1312030899626606</v>
      </c>
      <c r="Q190" s="26">
        <f t="shared" si="3"/>
        <v>6.269286974175901</v>
      </c>
      <c r="R190" s="26">
        <f ca="1">Posts[[#This Row],[Avg. During]]-Posts[[#This Row],[Avg. Before]]/Posts[[#This Row],[Avg. Before]]</f>
        <v>5.269286974175901</v>
      </c>
      <c r="S190" s="26">
        <v>11.788857497103599</v>
      </c>
    </row>
    <row r="191" spans="1:19">
      <c r="A191" s="29" t="s">
        <v>229</v>
      </c>
      <c r="B191" s="29" t="s">
        <v>15</v>
      </c>
      <c r="C191" s="38">
        <v>45673</v>
      </c>
      <c r="D191" s="29" t="s">
        <v>16</v>
      </c>
      <c r="E191" s="29" t="s">
        <v>35</v>
      </c>
      <c r="F191" s="14">
        <v>2605</v>
      </c>
      <c r="G191" s="14">
        <v>282</v>
      </c>
      <c r="H191" s="14">
        <v>148</v>
      </c>
      <c r="I191" s="14">
        <v>32201</v>
      </c>
      <c r="J191" s="14">
        <v>49583</v>
      </c>
      <c r="K191" s="14">
        <v>241</v>
      </c>
      <c r="L191" s="29" t="s">
        <v>18</v>
      </c>
      <c r="M191" s="29" t="s">
        <v>19</v>
      </c>
      <c r="N191" s="29" t="s">
        <v>20</v>
      </c>
      <c r="O191" s="29" t="str">
        <f>IF(AND(C191&gt;='Task 1.2'!$B$2,C191&lt;='Task 1.2'!$C$2),"During","Before")</f>
        <v>Before</v>
      </c>
      <c r="P191" s="26">
        <f ca="1">AVERAGEIF(O191:O489,"Before",Posts[[#This Row],[engagement rate]])</f>
        <v>9.1051476545985341</v>
      </c>
      <c r="Q191" s="26">
        <f t="shared" si="3"/>
        <v>9.5100576478201067</v>
      </c>
      <c r="R191" s="26">
        <f ca="1">Posts[[#This Row],[Avg. During]]-Posts[[#This Row],[Avg. Before]]/Posts[[#This Row],[Avg. Before]]</f>
        <v>8.5100576478201067</v>
      </c>
      <c r="S191" s="26">
        <v>10.173597093257973</v>
      </c>
    </row>
    <row r="192" spans="1:19">
      <c r="A192" s="29" t="s">
        <v>230</v>
      </c>
      <c r="B192" s="29" t="s">
        <v>34</v>
      </c>
      <c r="C192" s="38">
        <v>45346</v>
      </c>
      <c r="D192" s="29" t="s">
        <v>57</v>
      </c>
      <c r="E192" s="29" t="s">
        <v>17</v>
      </c>
      <c r="F192" s="14">
        <v>4221</v>
      </c>
      <c r="G192" s="14">
        <v>307</v>
      </c>
      <c r="H192" s="14">
        <v>58</v>
      </c>
      <c r="I192" s="14">
        <v>45080</v>
      </c>
      <c r="J192" s="14">
        <v>37214</v>
      </c>
      <c r="K192" s="14">
        <v>240</v>
      </c>
      <c r="L192" s="29" t="s">
        <v>23</v>
      </c>
      <c r="M192" s="29" t="s">
        <v>18</v>
      </c>
      <c r="N192" s="29" t="s">
        <v>58</v>
      </c>
      <c r="O192" s="29" t="str">
        <f>IF(AND(C192&gt;='Task 1.2'!$B$2,C192&lt;='Task 1.2'!$C$2),"During","Before")</f>
        <v>Before</v>
      </c>
      <c r="P192" s="26">
        <f ca="1">AVERAGEIF(O192:O490,"Before",Posts[[#This Row],[engagement rate]])</f>
        <v>9.0945689472850759</v>
      </c>
      <c r="Q192" s="26">
        <f t="shared" si="3"/>
        <v>7.368613088059023</v>
      </c>
      <c r="R192" s="26">
        <f ca="1">Posts[[#This Row],[Avg. During]]-Posts[[#This Row],[Avg. Before]]/Posts[[#This Row],[Avg. Before]]</f>
        <v>6.368613088059023</v>
      </c>
      <c r="S192" s="26">
        <v>10.705412599822537</v>
      </c>
    </row>
    <row r="193" spans="1:19">
      <c r="A193" s="29" t="s">
        <v>231</v>
      </c>
      <c r="B193" s="29" t="s">
        <v>27</v>
      </c>
      <c r="C193" s="38">
        <v>45551</v>
      </c>
      <c r="D193" s="29" t="s">
        <v>28</v>
      </c>
      <c r="E193" s="29" t="s">
        <v>38</v>
      </c>
      <c r="F193" s="14">
        <v>4422</v>
      </c>
      <c r="G193" s="14">
        <v>434</v>
      </c>
      <c r="H193" s="14">
        <v>156</v>
      </c>
      <c r="I193" s="14">
        <v>56165</v>
      </c>
      <c r="J193" s="14">
        <v>52431</v>
      </c>
      <c r="K193" s="14">
        <v>173</v>
      </c>
      <c r="L193" s="29" t="s">
        <v>23</v>
      </c>
      <c r="M193" s="29" t="s">
        <v>30</v>
      </c>
      <c r="N193" s="29" t="s">
        <v>20</v>
      </c>
      <c r="O193" s="29" t="str">
        <f>IF(AND(C193&gt;='Task 1.2'!$B$2,C193&lt;='Task 1.2'!$C$2),"During","Before")</f>
        <v>Before</v>
      </c>
      <c r="P193" s="26">
        <f ca="1">AVERAGEIF(O193:O491,"Before",Posts[[#This Row],[engagement rate]])</f>
        <v>9.0784605107596992</v>
      </c>
      <c r="Q193" s="26">
        <f t="shared" si="3"/>
        <v>7.7544713889474863</v>
      </c>
      <c r="R193" s="26">
        <f ca="1">Posts[[#This Row],[Avg. During]]-Posts[[#This Row],[Avg. Before]]/Posts[[#This Row],[Avg. Before]]</f>
        <v>6.7544713889474863</v>
      </c>
      <c r="S193" s="26">
        <v>9.2317279444493909</v>
      </c>
    </row>
    <row r="194" spans="1:19">
      <c r="A194" s="29" t="s">
        <v>232</v>
      </c>
      <c r="B194" s="29" t="s">
        <v>34</v>
      </c>
      <c r="C194" s="38">
        <v>45447</v>
      </c>
      <c r="D194" s="29" t="s">
        <v>57</v>
      </c>
      <c r="E194" s="29" t="s">
        <v>32</v>
      </c>
      <c r="F194" s="14">
        <v>1211</v>
      </c>
      <c r="G194" s="14">
        <v>431</v>
      </c>
      <c r="H194" s="14">
        <v>83</v>
      </c>
      <c r="I194" s="14">
        <v>26532</v>
      </c>
      <c r="J194" s="14">
        <v>47305</v>
      </c>
      <c r="K194" s="14">
        <v>232</v>
      </c>
      <c r="L194" s="29" t="s">
        <v>23</v>
      </c>
      <c r="M194" s="29" t="s">
        <v>18</v>
      </c>
      <c r="N194" s="29" t="s">
        <v>58</v>
      </c>
      <c r="O194" s="29" t="str">
        <f>IF(AND(C194&gt;='Task 1.2'!$B$2,C194&lt;='Task 1.2'!$C$2),"During","Before")</f>
        <v>Before</v>
      </c>
      <c r="P194" s="26">
        <f ca="1">AVERAGEIF(O194:O492,"Before",Posts[[#This Row],[engagement rate]])</f>
        <v>9.0769123548638433</v>
      </c>
      <c r="Q194" s="26">
        <f t="shared" si="3"/>
        <v>7.094741868732517</v>
      </c>
      <c r="R194" s="26">
        <f ca="1">Posts[[#This Row],[Avg. During]]-Posts[[#This Row],[Avg. Before]]/Posts[[#This Row],[Avg. Before]]</f>
        <v>6.094741868732517</v>
      </c>
      <c r="S194" s="26">
        <v>7.3759987939092415</v>
      </c>
    </row>
    <row r="195" spans="1:19">
      <c r="A195" s="29" t="s">
        <v>233</v>
      </c>
      <c r="B195" s="29" t="s">
        <v>27</v>
      </c>
      <c r="C195" s="38">
        <v>45422</v>
      </c>
      <c r="D195" s="29" t="s">
        <v>28</v>
      </c>
      <c r="E195" s="29" t="s">
        <v>22</v>
      </c>
      <c r="F195" s="14">
        <v>2784</v>
      </c>
      <c r="G195" s="14">
        <v>111</v>
      </c>
      <c r="H195" s="14">
        <v>399</v>
      </c>
      <c r="I195" s="14">
        <v>58366</v>
      </c>
      <c r="J195" s="14">
        <v>69512</v>
      </c>
      <c r="K195" s="14">
        <v>269</v>
      </c>
      <c r="L195" s="29" t="s">
        <v>30</v>
      </c>
      <c r="M195" s="29" t="s">
        <v>19</v>
      </c>
      <c r="N195" s="29" t="s">
        <v>20</v>
      </c>
      <c r="O195" s="29" t="str">
        <f>IF(AND(C195&gt;='Task 1.2'!$B$2,C195&lt;='Task 1.2'!$C$2),"During","Before")</f>
        <v>Before</v>
      </c>
      <c r="P195" s="26">
        <f ca="1">AVERAGEIF(O195:O493,"Before",Posts[[#This Row],[engagement rate]])</f>
        <v>9.0942686156899128</v>
      </c>
      <c r="Q195" s="26">
        <f t="shared" ref="Q195:Q258" si="4">AVERAGEIF($O$2:$O$300, "During",S195:S493)</f>
        <v>8.7692414299918564</v>
      </c>
      <c r="R195" s="26">
        <f ca="1">Posts[[#This Row],[Avg. During]]-Posts[[#This Row],[Avg. Before]]/Posts[[#This Row],[Avg. Before]]</f>
        <v>7.7692414299918564</v>
      </c>
      <c r="S195" s="26">
        <v>6.1045814343967377</v>
      </c>
    </row>
    <row r="196" spans="1:19">
      <c r="A196" s="29" t="s">
        <v>234</v>
      </c>
      <c r="B196" s="29" t="s">
        <v>34</v>
      </c>
      <c r="C196" s="38">
        <v>45305</v>
      </c>
      <c r="D196" s="29" t="s">
        <v>16</v>
      </c>
      <c r="E196" s="29" t="s">
        <v>29</v>
      </c>
      <c r="F196" s="14">
        <v>3634</v>
      </c>
      <c r="G196" s="14">
        <v>280</v>
      </c>
      <c r="H196" s="14">
        <v>399</v>
      </c>
      <c r="I196" s="14">
        <v>40256</v>
      </c>
      <c r="J196" s="14">
        <v>52605</v>
      </c>
      <c r="K196" s="14">
        <v>213</v>
      </c>
      <c r="L196" s="29" t="s">
        <v>23</v>
      </c>
      <c r="M196" s="29" t="s">
        <v>36</v>
      </c>
      <c r="N196" s="29" t="s">
        <v>25</v>
      </c>
      <c r="O196" s="29" t="str">
        <f>IF(AND(C196&gt;='Task 1.2'!$B$2,C196&lt;='Task 1.2'!$C$2),"During","Before")</f>
        <v>Before</v>
      </c>
      <c r="P196" s="26">
        <f ca="1">AVERAGEIF(O196:O494,"Before",Posts[[#This Row],[engagement rate]])</f>
        <v>9.125090133022832</v>
      </c>
      <c r="Q196" s="26">
        <f t="shared" si="4"/>
        <v>12.567655605701493</v>
      </c>
      <c r="R196" s="26">
        <f ca="1">Posts[[#This Row],[Avg. During]]-Posts[[#This Row],[Avg. Before]]/Posts[[#This Row],[Avg. Before]]</f>
        <v>11.567655605701493</v>
      </c>
      <c r="S196" s="26">
        <v>11.243044515103339</v>
      </c>
    </row>
    <row r="197" spans="1:19">
      <c r="A197" s="29" t="s">
        <v>235</v>
      </c>
      <c r="B197" s="29" t="s">
        <v>15</v>
      </c>
      <c r="C197" s="38">
        <v>45669</v>
      </c>
      <c r="D197" s="29" t="s">
        <v>16</v>
      </c>
      <c r="E197" s="29" t="s">
        <v>49</v>
      </c>
      <c r="F197" s="14">
        <v>1771</v>
      </c>
      <c r="G197" s="14">
        <v>487</v>
      </c>
      <c r="H197" s="14">
        <v>272</v>
      </c>
      <c r="I197" s="14">
        <v>48810</v>
      </c>
      <c r="J197" s="14">
        <v>48084</v>
      </c>
      <c r="K197" s="14">
        <v>272</v>
      </c>
      <c r="L197" s="29" t="s">
        <v>18</v>
      </c>
      <c r="M197" s="29" t="s">
        <v>19</v>
      </c>
      <c r="N197" s="29" t="s">
        <v>20</v>
      </c>
      <c r="O197" s="29" t="str">
        <f>IF(AND(C197&gt;='Task 1.2'!$B$2,C197&lt;='Task 1.2'!$C$2),"During","Before")</f>
        <v>Before</v>
      </c>
      <c r="P197" s="26">
        <f ca="1">AVERAGEIF(O197:O495,"Before",Posts[[#This Row],[engagement rate]])</f>
        <v>9.1030281082094913</v>
      </c>
      <c r="Q197" s="26">
        <f t="shared" si="4"/>
        <v>10.661759996925198</v>
      </c>
      <c r="R197" s="26">
        <f ca="1">Posts[[#This Row],[Avg. During]]-Posts[[#This Row],[Avg. Before]]/Posts[[#This Row],[Avg. Before]]</f>
        <v>9.6617599969251984</v>
      </c>
      <c r="S197" s="26">
        <v>5.7406269207129688</v>
      </c>
    </row>
    <row r="198" spans="1:19">
      <c r="A198" s="29" t="s">
        <v>236</v>
      </c>
      <c r="B198" s="29" t="s">
        <v>34</v>
      </c>
      <c r="C198" s="38">
        <v>45634</v>
      </c>
      <c r="D198" s="29" t="s">
        <v>16</v>
      </c>
      <c r="E198" s="29" t="s">
        <v>43</v>
      </c>
      <c r="F198" s="14">
        <v>1424</v>
      </c>
      <c r="G198" s="14">
        <v>396</v>
      </c>
      <c r="H198" s="14">
        <v>312</v>
      </c>
      <c r="I198" s="14">
        <v>59517</v>
      </c>
      <c r="J198" s="14">
        <v>46102</v>
      </c>
      <c r="K198" s="14">
        <v>239</v>
      </c>
      <c r="L198" s="29" t="s">
        <v>23</v>
      </c>
      <c r="M198" s="29" t="s">
        <v>36</v>
      </c>
      <c r="N198" s="29" t="s">
        <v>25</v>
      </c>
      <c r="O198" s="29" t="str">
        <f>IF(AND(C198&gt;='Task 1.2'!$B$2,C198&lt;='Task 1.2'!$C$2),"During","Before")</f>
        <v>Before</v>
      </c>
      <c r="P198" s="26">
        <f ca="1">AVERAGEIF(O198:O496,"Before",Posts[[#This Row],[engagement rate]])</f>
        <v>9.1384218049199823</v>
      </c>
      <c r="Q198" s="26">
        <f t="shared" si="4"/>
        <v>6.5509734707160705</v>
      </c>
      <c r="R198" s="26">
        <f ca="1">Posts[[#This Row],[Avg. During]]-Posts[[#This Row],[Avg. Before]]/Posts[[#This Row],[Avg. Before]]</f>
        <v>5.5509734707160705</v>
      </c>
      <c r="S198" s="26">
        <v>3.9837357393685839</v>
      </c>
    </row>
    <row r="199" spans="1:19">
      <c r="A199" s="29" t="s">
        <v>237</v>
      </c>
      <c r="B199" s="29" t="s">
        <v>27</v>
      </c>
      <c r="C199" s="38">
        <v>45689</v>
      </c>
      <c r="D199" s="29" t="s">
        <v>28</v>
      </c>
      <c r="E199" s="29" t="s">
        <v>43</v>
      </c>
      <c r="F199" s="14">
        <v>1079</v>
      </c>
      <c r="G199" s="14">
        <v>265</v>
      </c>
      <c r="H199" s="14">
        <v>190</v>
      </c>
      <c r="I199" s="14">
        <v>43786</v>
      </c>
      <c r="J199" s="14">
        <v>72428</v>
      </c>
      <c r="K199" s="14">
        <v>222</v>
      </c>
      <c r="L199" s="29" t="s">
        <v>18</v>
      </c>
      <c r="M199" s="29" t="s">
        <v>19</v>
      </c>
      <c r="N199" s="29" t="s">
        <v>20</v>
      </c>
      <c r="O199" s="29" t="str">
        <f>IF(AND(C199&gt;='Task 1.2'!$B$2,C199&lt;='Task 1.2'!$C$2),"During","Before")</f>
        <v>Before</v>
      </c>
      <c r="P199" s="26">
        <f ca="1">AVERAGEIF(O199:O497,"Before",Posts[[#This Row],[engagement rate]])</f>
        <v>9.1932588907237207</v>
      </c>
      <c r="Q199" s="26">
        <f t="shared" si="4"/>
        <v>9.0297953516252729</v>
      </c>
      <c r="R199" s="26">
        <f ca="1">Posts[[#This Row],[Avg. During]]-Posts[[#This Row],[Avg. Before]]/Posts[[#This Row],[Avg. Before]]</f>
        <v>8.0297953516252729</v>
      </c>
      <c r="S199" s="26">
        <v>4.0104142876718587</v>
      </c>
    </row>
    <row r="200" spans="1:19">
      <c r="A200" s="29" t="s">
        <v>238</v>
      </c>
      <c r="B200" s="29" t="s">
        <v>27</v>
      </c>
      <c r="C200" s="38">
        <v>45484</v>
      </c>
      <c r="D200" s="29" t="s">
        <v>28</v>
      </c>
      <c r="E200" s="29" t="s">
        <v>40</v>
      </c>
      <c r="F200" s="14">
        <v>4247</v>
      </c>
      <c r="G200" s="14">
        <v>179</v>
      </c>
      <c r="H200" s="14">
        <v>175</v>
      </c>
      <c r="I200" s="14">
        <v>32991</v>
      </c>
      <c r="J200" s="14">
        <v>70120</v>
      </c>
      <c r="K200" s="14">
        <v>276</v>
      </c>
      <c r="L200" s="29" t="s">
        <v>18</v>
      </c>
      <c r="M200" s="29" t="s">
        <v>19</v>
      </c>
      <c r="N200" s="29" t="s">
        <v>20</v>
      </c>
      <c r="O200" s="29" t="str">
        <f>IF(AND(C200&gt;='Task 1.2'!$B$2,C200&lt;='Task 1.2'!$C$2),"During","Before")</f>
        <v>During</v>
      </c>
      <c r="P200" s="26">
        <f ca="1">AVERAGEIF(O200:O498,"Before",Posts[[#This Row],[engagement rate]])</f>
        <v>9.2489884025844944</v>
      </c>
      <c r="Q200" s="26">
        <f t="shared" si="4"/>
        <v>9.3671265352887279</v>
      </c>
      <c r="R200" s="26">
        <f ca="1">Posts[[#This Row],[Avg. During]]-Posts[[#This Row],[Avg. Before]]/Posts[[#This Row],[Avg. Before]]</f>
        <v>8.3671265352887279</v>
      </c>
      <c r="S200" s="26">
        <v>14.782819556848835</v>
      </c>
    </row>
    <row r="201" spans="1:19">
      <c r="A201" s="29" t="s">
        <v>239</v>
      </c>
      <c r="B201" s="29" t="s">
        <v>27</v>
      </c>
      <c r="C201" s="38">
        <v>45369</v>
      </c>
      <c r="D201" s="29" t="s">
        <v>16</v>
      </c>
      <c r="E201" s="29" t="s">
        <v>29</v>
      </c>
      <c r="F201" s="14">
        <v>2033</v>
      </c>
      <c r="G201" s="14">
        <v>420</v>
      </c>
      <c r="H201" s="14">
        <v>94</v>
      </c>
      <c r="I201" s="14">
        <v>56290</v>
      </c>
      <c r="J201" s="14">
        <v>57391</v>
      </c>
      <c r="K201" s="14">
        <v>196</v>
      </c>
      <c r="L201" s="29" t="s">
        <v>19</v>
      </c>
      <c r="M201" s="29" t="s">
        <v>24</v>
      </c>
      <c r="N201" s="29" t="s">
        <v>20</v>
      </c>
      <c r="O201" s="29" t="str">
        <f>IF(AND(C201&gt;='Task 1.2'!$B$2,C201&lt;='Task 1.2'!$C$2),"During","Before")</f>
        <v>Before</v>
      </c>
      <c r="P201" s="26">
        <f ca="1">AVERAGEIF(O201:O499,"Before",Posts[[#This Row],[engagement rate]])</f>
        <v>9.2489884025844944</v>
      </c>
      <c r="Q201" s="26">
        <f t="shared" si="4"/>
        <v>9.8612067969262629</v>
      </c>
      <c r="R201" s="26">
        <f ca="1">Posts[[#This Row],[Avg. During]]-Posts[[#This Row],[Avg. Before]]/Posts[[#This Row],[Avg. Before]]</f>
        <v>8.8612067969262629</v>
      </c>
      <c r="S201" s="26">
        <v>4.8729792147806004</v>
      </c>
    </row>
    <row r="202" spans="1:19">
      <c r="A202" s="29" t="s">
        <v>240</v>
      </c>
      <c r="B202" s="29" t="s">
        <v>27</v>
      </c>
      <c r="C202" s="38">
        <v>45547</v>
      </c>
      <c r="D202" s="29" t="s">
        <v>28</v>
      </c>
      <c r="E202" s="29" t="s">
        <v>32</v>
      </c>
      <c r="F202" s="14">
        <v>1839</v>
      </c>
      <c r="G202" s="14">
        <v>223</v>
      </c>
      <c r="H202" s="14">
        <v>171</v>
      </c>
      <c r="I202" s="14">
        <v>35459</v>
      </c>
      <c r="J202" s="14">
        <v>69988</v>
      </c>
      <c r="K202" s="14">
        <v>114</v>
      </c>
      <c r="L202" s="29" t="s">
        <v>30</v>
      </c>
      <c r="M202" s="29" t="s">
        <v>19</v>
      </c>
      <c r="N202" s="29" t="s">
        <v>20</v>
      </c>
      <c r="O202" s="29" t="str">
        <f>IF(AND(C202&gt;='Task 1.2'!$B$2,C202&lt;='Task 1.2'!$C$2),"During","Before")</f>
        <v>Before</v>
      </c>
      <c r="P202" s="26">
        <f ca="1">AVERAGEIF(O202:O500,"Before",Posts[[#This Row],[engagement rate]])</f>
        <v>9.2965537198432298</v>
      </c>
      <c r="Q202" s="26">
        <f t="shared" si="4"/>
        <v>6.9904507618552243</v>
      </c>
      <c r="R202" s="26">
        <f ca="1">Posts[[#This Row],[Avg. During]]-Posts[[#This Row],[Avg. Before]]/Posts[[#This Row],[Avg. Before]]</f>
        <v>5.9904507618552243</v>
      </c>
      <c r="S202" s="26">
        <v>6.6189119828534357</v>
      </c>
    </row>
    <row r="203" spans="1:19">
      <c r="A203" s="29" t="s">
        <v>241</v>
      </c>
      <c r="B203" s="29" t="s">
        <v>27</v>
      </c>
      <c r="C203" s="38">
        <v>45302</v>
      </c>
      <c r="D203" s="29" t="s">
        <v>28</v>
      </c>
      <c r="E203" s="29" t="s">
        <v>32</v>
      </c>
      <c r="F203" s="14">
        <v>2340</v>
      </c>
      <c r="G203" s="14">
        <v>141</v>
      </c>
      <c r="H203" s="14">
        <v>206</v>
      </c>
      <c r="I203" s="14">
        <v>24916</v>
      </c>
      <c r="J203" s="14">
        <v>30582</v>
      </c>
      <c r="K203" s="14">
        <v>157</v>
      </c>
      <c r="L203" s="29" t="s">
        <v>18</v>
      </c>
      <c r="M203" s="29" t="s">
        <v>19</v>
      </c>
      <c r="N203" s="29" t="s">
        <v>20</v>
      </c>
      <c r="O203" s="29" t="str">
        <f>IF(AND(C203&gt;='Task 1.2'!$B$2,C203&lt;='Task 1.2'!$C$2),"During","Before")</f>
        <v>Before</v>
      </c>
      <c r="P203" s="26">
        <f ca="1">AVERAGEIF(O203:O501,"Before",Posts[[#This Row],[engagement rate]])</f>
        <v>9.325978354315648</v>
      </c>
      <c r="Q203" s="26">
        <f t="shared" si="4"/>
        <v>10.931916328860051</v>
      </c>
      <c r="R203" s="26">
        <f ca="1">Posts[[#This Row],[Avg. During]]-Posts[[#This Row],[Avg. Before]]/Posts[[#This Row],[Avg. Before]]</f>
        <v>9.9319163288600514</v>
      </c>
      <c r="S203" s="26">
        <v>11.414352223470862</v>
      </c>
    </row>
    <row r="204" spans="1:19">
      <c r="A204" s="29" t="s">
        <v>242</v>
      </c>
      <c r="B204" s="29" t="s">
        <v>15</v>
      </c>
      <c r="C204" s="38">
        <v>45571</v>
      </c>
      <c r="D204" s="29" t="s">
        <v>16</v>
      </c>
      <c r="E204" s="29" t="s">
        <v>43</v>
      </c>
      <c r="F204" s="14">
        <v>2080</v>
      </c>
      <c r="G204" s="14">
        <v>389</v>
      </c>
      <c r="H204" s="14">
        <v>92</v>
      </c>
      <c r="I204" s="14">
        <v>30971</v>
      </c>
      <c r="J204" s="14">
        <v>25347</v>
      </c>
      <c r="K204" s="14">
        <v>111</v>
      </c>
      <c r="L204" s="29" t="s">
        <v>23</v>
      </c>
      <c r="M204" s="29" t="s">
        <v>24</v>
      </c>
      <c r="N204" s="29" t="s">
        <v>25</v>
      </c>
      <c r="O204" s="29" t="str">
        <f>IF(AND(C204&gt;='Task 1.2'!$B$2,C204&lt;='Task 1.2'!$C$2),"During","Before")</f>
        <v>Before</v>
      </c>
      <c r="P204" s="26">
        <f ca="1">AVERAGEIF(O204:O502,"Before",Posts[[#This Row],[engagement rate]])</f>
        <v>9.3027742002139213</v>
      </c>
      <c r="Q204" s="26">
        <f t="shared" si="4"/>
        <v>9.3378348805678399</v>
      </c>
      <c r="R204" s="26">
        <f ca="1">Posts[[#This Row],[Avg. During]]-Posts[[#This Row],[Avg. Before]]/Posts[[#This Row],[Avg. Before]]</f>
        <v>8.3378348805678399</v>
      </c>
      <c r="S204" s="26">
        <v>8.6274256562590814</v>
      </c>
    </row>
    <row r="205" spans="1:19">
      <c r="A205" s="29" t="s">
        <v>243</v>
      </c>
      <c r="B205" s="29" t="s">
        <v>27</v>
      </c>
      <c r="C205" s="38">
        <v>45656</v>
      </c>
      <c r="D205" s="29" t="s">
        <v>16</v>
      </c>
      <c r="E205" s="29" t="s">
        <v>40</v>
      </c>
      <c r="F205" s="14">
        <v>4214</v>
      </c>
      <c r="G205" s="14">
        <v>286</v>
      </c>
      <c r="H205" s="14">
        <v>127</v>
      </c>
      <c r="I205" s="14">
        <v>47293</v>
      </c>
      <c r="J205" s="14">
        <v>27184</v>
      </c>
      <c r="K205" s="14">
        <v>232</v>
      </c>
      <c r="L205" s="29" t="s">
        <v>19</v>
      </c>
      <c r="M205" s="29" t="s">
        <v>24</v>
      </c>
      <c r="N205" s="29" t="s">
        <v>20</v>
      </c>
      <c r="O205" s="29" t="str">
        <f>IF(AND(C205&gt;='Task 1.2'!$B$2,C205&lt;='Task 1.2'!$C$2),"During","Before")</f>
        <v>Before</v>
      </c>
      <c r="P205" s="26">
        <f ca="1">AVERAGEIF(O205:O503,"Before",Posts[[#This Row],[engagement rate]])</f>
        <v>9.3103623861010529</v>
      </c>
      <c r="Q205" s="26">
        <f t="shared" si="4"/>
        <v>13.338835376255787</v>
      </c>
      <c r="R205" s="26">
        <f ca="1">Posts[[#This Row],[Avg. During]]-Posts[[#This Row],[Avg. Before]]/Posts[[#This Row],[Avg. Before]]</f>
        <v>12.338835376255787</v>
      </c>
      <c r="S205" s="26">
        <v>10.274247774512084</v>
      </c>
    </row>
    <row r="206" spans="1:19">
      <c r="A206" s="29" t="s">
        <v>244</v>
      </c>
      <c r="B206" s="29" t="s">
        <v>27</v>
      </c>
      <c r="C206" s="38">
        <v>45763</v>
      </c>
      <c r="D206" s="29" t="s">
        <v>16</v>
      </c>
      <c r="E206" s="29" t="s">
        <v>32</v>
      </c>
      <c r="F206" s="14">
        <v>3792</v>
      </c>
      <c r="G206" s="14">
        <v>315</v>
      </c>
      <c r="H206" s="14">
        <v>120</v>
      </c>
      <c r="I206" s="14">
        <v>54592</v>
      </c>
      <c r="J206" s="14">
        <v>67886</v>
      </c>
      <c r="K206" s="14">
        <v>117</v>
      </c>
      <c r="L206" s="29" t="s">
        <v>18</v>
      </c>
      <c r="M206" s="29" t="s">
        <v>24</v>
      </c>
      <c r="N206" s="29" t="s">
        <v>25</v>
      </c>
      <c r="O206" s="29" t="str">
        <f>IF(AND(C206&gt;='Task 1.2'!$B$2,C206&lt;='Task 1.2'!$C$2),"During","Before")</f>
        <v>Before</v>
      </c>
      <c r="P206" s="26">
        <f ca="1">AVERAGEIF(O206:O504,"Before",Posts[[#This Row],[engagement rate]])</f>
        <v>9.29940914305093</v>
      </c>
      <c r="Q206" s="26">
        <f t="shared" si="4"/>
        <v>9.5638965272847578</v>
      </c>
      <c r="R206" s="26">
        <f ca="1">Posts[[#This Row],[Avg. During]]-Posts[[#This Row],[Avg. Before]]/Posts[[#This Row],[Avg. Before]]</f>
        <v>8.5638965272847578</v>
      </c>
      <c r="S206" s="26">
        <v>7.9572098475967179</v>
      </c>
    </row>
    <row r="207" spans="1:19">
      <c r="A207" s="29" t="s">
        <v>245</v>
      </c>
      <c r="B207" s="29" t="s">
        <v>27</v>
      </c>
      <c r="C207" s="38">
        <v>45525</v>
      </c>
      <c r="D207" s="29" t="s">
        <v>28</v>
      </c>
      <c r="E207" s="29" t="s">
        <v>22</v>
      </c>
      <c r="F207" s="14">
        <v>3989</v>
      </c>
      <c r="G207" s="14">
        <v>476</v>
      </c>
      <c r="H207" s="14">
        <v>128</v>
      </c>
      <c r="I207" s="14">
        <v>57569</v>
      </c>
      <c r="J207" s="14">
        <v>40193</v>
      </c>
      <c r="K207" s="14">
        <v>222</v>
      </c>
      <c r="L207" s="29" t="s">
        <v>23</v>
      </c>
      <c r="M207" s="29" t="s">
        <v>30</v>
      </c>
      <c r="N207" s="29" t="s">
        <v>20</v>
      </c>
      <c r="O207" s="29" t="str">
        <f>IF(AND(C207&gt;='Task 1.2'!$B$2,C207&lt;='Task 1.2'!$C$2),"During","Before")</f>
        <v>Before</v>
      </c>
      <c r="P207" s="26">
        <f ca="1">AVERAGEIF(O207:O505,"Before",Posts[[#This Row],[engagement rate]])</f>
        <v>9.3148367211595993</v>
      </c>
      <c r="Q207" s="26">
        <f t="shared" si="4"/>
        <v>10.653018893702685</v>
      </c>
      <c r="R207" s="26">
        <f ca="1">Posts[[#This Row],[Avg. During]]-Posts[[#This Row],[Avg. Before]]/Posts[[#This Row],[Avg. Before]]</f>
        <v>9.6530188937026846</v>
      </c>
      <c r="S207" s="26">
        <v>8.3638763918080912</v>
      </c>
    </row>
    <row r="208" spans="1:19">
      <c r="A208" s="29" t="s">
        <v>246</v>
      </c>
      <c r="B208" s="29" t="s">
        <v>27</v>
      </c>
      <c r="C208" s="38">
        <v>45387</v>
      </c>
      <c r="D208" s="29" t="s">
        <v>28</v>
      </c>
      <c r="E208" s="29" t="s">
        <v>32</v>
      </c>
      <c r="F208" s="14">
        <v>2857</v>
      </c>
      <c r="G208" s="14">
        <v>443</v>
      </c>
      <c r="H208" s="14">
        <v>359</v>
      </c>
      <c r="I208" s="14">
        <v>51519</v>
      </c>
      <c r="J208" s="14">
        <v>28256</v>
      </c>
      <c r="K208" s="14">
        <v>155</v>
      </c>
      <c r="L208" s="29" t="s">
        <v>18</v>
      </c>
      <c r="M208" s="29" t="s">
        <v>19</v>
      </c>
      <c r="N208" s="29" t="s">
        <v>20</v>
      </c>
      <c r="O208" s="29" t="str">
        <f>IF(AND(C208&gt;='Task 1.2'!$B$2,C208&lt;='Task 1.2'!$C$2),"During","Before")</f>
        <v>Before</v>
      </c>
      <c r="P208" s="26">
        <f ca="1">AVERAGEIF(O208:O506,"Before",Posts[[#This Row],[engagement rate]])</f>
        <v>9.325894399407872</v>
      </c>
      <c r="Q208" s="26">
        <f t="shared" si="4"/>
        <v>6.3479785423663015</v>
      </c>
      <c r="R208" s="26">
        <f ca="1">Posts[[#This Row],[Avg. During]]-Posts[[#This Row],[Avg. Before]]/Posts[[#This Row],[Avg. Before]]</f>
        <v>5.3479785423663015</v>
      </c>
      <c r="S208" s="26">
        <v>7.4030940041538065</v>
      </c>
    </row>
    <row r="209" spans="1:19">
      <c r="A209" s="29" t="s">
        <v>247</v>
      </c>
      <c r="B209" s="29" t="s">
        <v>27</v>
      </c>
      <c r="C209" s="38">
        <v>45754</v>
      </c>
      <c r="D209" s="29" t="s">
        <v>16</v>
      </c>
      <c r="E209" s="29" t="s">
        <v>49</v>
      </c>
      <c r="F209" s="14">
        <v>1403</v>
      </c>
      <c r="G209" s="14">
        <v>385</v>
      </c>
      <c r="H209" s="14">
        <v>344</v>
      </c>
      <c r="I209" s="14">
        <v>54223</v>
      </c>
      <c r="J209" s="14">
        <v>72595</v>
      </c>
      <c r="K209" s="14">
        <v>239</v>
      </c>
      <c r="L209" s="29" t="s">
        <v>18</v>
      </c>
      <c r="M209" s="29" t="s">
        <v>24</v>
      </c>
      <c r="N209" s="29" t="s">
        <v>25</v>
      </c>
      <c r="O209" s="29" t="str">
        <f>IF(AND(C209&gt;='Task 1.2'!$B$2,C209&lt;='Task 1.2'!$C$2),"During","Before")</f>
        <v>Before</v>
      </c>
      <c r="P209" s="26">
        <f ca="1">AVERAGEIF(O209:O507,"Before",Posts[[#This Row],[engagement rate]])</f>
        <v>9.3485155805285061</v>
      </c>
      <c r="Q209" s="26">
        <f t="shared" si="4"/>
        <v>8.6407986877179912</v>
      </c>
      <c r="R209" s="26">
        <f ca="1">Posts[[#This Row],[Avg. During]]-Posts[[#This Row],[Avg. Before]]/Posts[[#This Row],[Avg. Before]]</f>
        <v>7.6407986877179912</v>
      </c>
      <c r="S209" s="26">
        <v>4.3726831787248956</v>
      </c>
    </row>
    <row r="210" spans="1:19">
      <c r="A210" s="29" t="s">
        <v>248</v>
      </c>
      <c r="B210" s="29" t="s">
        <v>27</v>
      </c>
      <c r="C210" s="38">
        <v>45492</v>
      </c>
      <c r="D210" s="29" t="s">
        <v>28</v>
      </c>
      <c r="E210" s="29" t="s">
        <v>38</v>
      </c>
      <c r="F210" s="14">
        <v>3071</v>
      </c>
      <c r="G210" s="14">
        <v>126</v>
      </c>
      <c r="H210" s="14">
        <v>200</v>
      </c>
      <c r="I210" s="14">
        <v>44013</v>
      </c>
      <c r="J210" s="14">
        <v>44679</v>
      </c>
      <c r="K210" s="14">
        <v>118</v>
      </c>
      <c r="L210" s="29" t="s">
        <v>23</v>
      </c>
      <c r="M210" s="29" t="s">
        <v>30</v>
      </c>
      <c r="N210" s="29" t="s">
        <v>20</v>
      </c>
      <c r="O210" s="29" t="str">
        <f>IF(AND(C210&gt;='Task 1.2'!$B$2,C210&lt;='Task 1.2'!$C$2),"During","Before")</f>
        <v>Before</v>
      </c>
      <c r="P210" s="26">
        <f ca="1">AVERAGEIF(O210:O508,"Before",Posts[[#This Row],[engagement rate]])</f>
        <v>9.4077516805499819</v>
      </c>
      <c r="Q210" s="26">
        <f t="shared" si="4"/>
        <v>9.286142824476924</v>
      </c>
      <c r="R210" s="26">
        <f ca="1">Posts[[#This Row],[Avg. During]]-Posts[[#This Row],[Avg. Before]]/Posts[[#This Row],[Avg. Before]]</f>
        <v>8.286142824476924</v>
      </c>
      <c r="S210" s="26">
        <v>7.986276781859905</v>
      </c>
    </row>
    <row r="211" spans="1:19">
      <c r="A211" s="29" t="s">
        <v>249</v>
      </c>
      <c r="B211" s="29" t="s">
        <v>27</v>
      </c>
      <c r="C211" s="38">
        <v>45780</v>
      </c>
      <c r="D211" s="29" t="s">
        <v>28</v>
      </c>
      <c r="E211" s="29" t="s">
        <v>43</v>
      </c>
      <c r="F211" s="14">
        <v>1010</v>
      </c>
      <c r="G211" s="14">
        <v>361</v>
      </c>
      <c r="H211" s="14">
        <v>240</v>
      </c>
      <c r="I211" s="14">
        <v>47229</v>
      </c>
      <c r="J211" s="14">
        <v>72573</v>
      </c>
      <c r="K211" s="14">
        <v>275</v>
      </c>
      <c r="L211" s="29" t="s">
        <v>18</v>
      </c>
      <c r="M211" s="29" t="s">
        <v>19</v>
      </c>
      <c r="N211" s="29" t="s">
        <v>20</v>
      </c>
      <c r="O211" s="29" t="str">
        <f>IF(AND(C211&gt;='Task 1.2'!$B$2,C211&lt;='Task 1.2'!$C$2),"During","Before")</f>
        <v>Before</v>
      </c>
      <c r="P211" s="26">
        <f ca="1">AVERAGEIF(O211:O509,"Before",Posts[[#This Row],[engagement rate]])</f>
        <v>9.4248778841486569</v>
      </c>
      <c r="Q211" s="26">
        <f t="shared" si="4"/>
        <v>7.6894977893396241</v>
      </c>
      <c r="R211" s="26">
        <f ca="1">Posts[[#This Row],[Avg. During]]-Posts[[#This Row],[Avg. Before]]/Posts[[#This Row],[Avg. Before]]</f>
        <v>6.6894977893396241</v>
      </c>
      <c r="S211" s="26">
        <v>3.9933091956213342</v>
      </c>
    </row>
    <row r="212" spans="1:19">
      <c r="A212" s="29" t="s">
        <v>250</v>
      </c>
      <c r="B212" s="29" t="s">
        <v>27</v>
      </c>
      <c r="C212" s="38">
        <v>45396</v>
      </c>
      <c r="D212" s="29" t="s">
        <v>28</v>
      </c>
      <c r="E212" s="29" t="s">
        <v>17</v>
      </c>
      <c r="F212" s="14">
        <v>1295</v>
      </c>
      <c r="G212" s="14">
        <v>153</v>
      </c>
      <c r="H212" s="14">
        <v>81</v>
      </c>
      <c r="I212" s="14">
        <v>48350</v>
      </c>
      <c r="J212" s="14">
        <v>61033</v>
      </c>
      <c r="K212" s="14">
        <v>232</v>
      </c>
      <c r="L212" s="29" t="s">
        <v>23</v>
      </c>
      <c r="M212" s="29" t="s">
        <v>30</v>
      </c>
      <c r="N212" s="29" t="s">
        <v>20</v>
      </c>
      <c r="O212" s="29" t="str">
        <f>IF(AND(C212&gt;='Task 1.2'!$B$2,C212&lt;='Task 1.2'!$C$2),"During","Before")</f>
        <v>Before</v>
      </c>
      <c r="P212" s="26">
        <f ca="1">AVERAGEIF(O212:O510,"Before",Posts[[#This Row],[engagement rate]])</f>
        <v>9.4911165266916715</v>
      </c>
      <c r="Q212" s="26">
        <f t="shared" si="4"/>
        <v>8.0534440343557634</v>
      </c>
      <c r="R212" s="26">
        <f ca="1">Posts[[#This Row],[Avg. During]]-Posts[[#This Row],[Avg. Before]]/Posts[[#This Row],[Avg. Before]]</f>
        <v>7.0534440343557634</v>
      </c>
      <c r="S212" s="26">
        <v>3.6421923474663909</v>
      </c>
    </row>
    <row r="213" spans="1:19">
      <c r="A213" s="29" t="s">
        <v>251</v>
      </c>
      <c r="B213" s="29" t="s">
        <v>27</v>
      </c>
      <c r="C213" s="38">
        <v>45827</v>
      </c>
      <c r="D213" s="29" t="s">
        <v>28</v>
      </c>
      <c r="E213" s="29" t="s">
        <v>38</v>
      </c>
      <c r="F213" s="14">
        <v>1433</v>
      </c>
      <c r="G213" s="14">
        <v>452</v>
      </c>
      <c r="H213" s="14">
        <v>305</v>
      </c>
      <c r="I213" s="14">
        <v>54541</v>
      </c>
      <c r="J213" s="14">
        <v>63700</v>
      </c>
      <c r="K213" s="14">
        <v>296</v>
      </c>
      <c r="L213" s="29" t="s">
        <v>23</v>
      </c>
      <c r="M213" s="29" t="s">
        <v>30</v>
      </c>
      <c r="N213" s="29" t="s">
        <v>20</v>
      </c>
      <c r="O213" s="29" t="str">
        <f>IF(AND(C213&gt;='Task 1.2'!$B$2,C213&lt;='Task 1.2'!$C$2),"During","Before")</f>
        <v>Before</v>
      </c>
      <c r="P213" s="26">
        <f ca="1">AVERAGEIF(O213:O511,"Before",Posts[[#This Row],[engagement rate]])</f>
        <v>9.563325467175936</v>
      </c>
      <c r="Q213" s="26">
        <f t="shared" si="4"/>
        <v>6.6585662622400266</v>
      </c>
      <c r="R213" s="26">
        <f ca="1">Posts[[#This Row],[Avg. During]]-Posts[[#This Row],[Avg. Before]]/Posts[[#This Row],[Avg. Before]]</f>
        <v>5.6585662622400266</v>
      </c>
      <c r="S213" s="26">
        <v>4.5580389065106983</v>
      </c>
    </row>
    <row r="214" spans="1:19">
      <c r="A214" s="29" t="s">
        <v>252</v>
      </c>
      <c r="B214" s="29" t="s">
        <v>15</v>
      </c>
      <c r="C214" s="38">
        <v>45832</v>
      </c>
      <c r="D214" s="29" t="s">
        <v>28</v>
      </c>
      <c r="E214" s="29" t="s">
        <v>40</v>
      </c>
      <c r="F214" s="14">
        <v>4902</v>
      </c>
      <c r="G214" s="14">
        <v>422</v>
      </c>
      <c r="H214" s="14">
        <v>376</v>
      </c>
      <c r="I214" s="14">
        <v>31674</v>
      </c>
      <c r="J214" s="14">
        <v>53225</v>
      </c>
      <c r="K214" s="14">
        <v>147</v>
      </c>
      <c r="L214" s="29" t="s">
        <v>19</v>
      </c>
      <c r="M214" s="29" t="s">
        <v>24</v>
      </c>
      <c r="N214" s="29" t="s">
        <v>55</v>
      </c>
      <c r="O214" s="29" t="str">
        <f>IF(AND(C214&gt;='Task 1.2'!$B$2,C214&lt;='Task 1.2'!$C$2),"During","Before")</f>
        <v>Before</v>
      </c>
      <c r="P214" s="26">
        <f ca="1">AVERAGEIF(O214:O512,"Before",Posts[[#This Row],[engagement rate]])</f>
        <v>9.6258915491842494</v>
      </c>
      <c r="Q214" s="26">
        <f t="shared" si="4"/>
        <v>9.7725492659318629</v>
      </c>
      <c r="R214" s="26">
        <f ca="1">Posts[[#This Row],[Avg. During]]-Posts[[#This Row],[Avg. Before]]/Posts[[#This Row],[Avg. Before]]</f>
        <v>8.7725492659318629</v>
      </c>
      <c r="S214" s="26">
        <v>18.459935593862472</v>
      </c>
    </row>
    <row r="215" spans="1:19">
      <c r="A215" s="29" t="s">
        <v>253</v>
      </c>
      <c r="B215" s="29" t="s">
        <v>27</v>
      </c>
      <c r="C215" s="38">
        <v>45574</v>
      </c>
      <c r="D215" s="29" t="s">
        <v>16</v>
      </c>
      <c r="E215" s="29" t="s">
        <v>32</v>
      </c>
      <c r="F215" s="14">
        <v>2659</v>
      </c>
      <c r="G215" s="14">
        <v>167</v>
      </c>
      <c r="H215" s="14">
        <v>73</v>
      </c>
      <c r="I215" s="14">
        <v>23090</v>
      </c>
      <c r="J215" s="14">
        <v>25872</v>
      </c>
      <c r="K215" s="14">
        <v>293</v>
      </c>
      <c r="L215" s="29" t="s">
        <v>18</v>
      </c>
      <c r="M215" s="29" t="s">
        <v>24</v>
      </c>
      <c r="N215" s="29" t="s">
        <v>25</v>
      </c>
      <c r="O215" s="29" t="str">
        <f>IF(AND(C215&gt;='Task 1.2'!$B$2,C215&lt;='Task 1.2'!$C$2),"During","Before")</f>
        <v>Before</v>
      </c>
      <c r="P215" s="26">
        <f ca="1">AVERAGEIF(O215:O513,"Before",Posts[[#This Row],[engagement rate]])</f>
        <v>9.5140682068465523</v>
      </c>
      <c r="Q215" s="26">
        <f t="shared" si="4"/>
        <v>8.2491131009539487</v>
      </c>
      <c r="R215" s="26">
        <f ca="1">Posts[[#This Row],[Avg. During]]-Posts[[#This Row],[Avg. Before]]/Posts[[#This Row],[Avg. Before]]</f>
        <v>7.2491131009539487</v>
      </c>
      <c r="S215" s="26">
        <v>13.82416630576007</v>
      </c>
    </row>
    <row r="216" spans="1:19">
      <c r="A216" s="29" t="s">
        <v>254</v>
      </c>
      <c r="B216" s="29" t="s">
        <v>34</v>
      </c>
      <c r="C216" s="38">
        <v>45672</v>
      </c>
      <c r="D216" s="29" t="s">
        <v>16</v>
      </c>
      <c r="E216" s="29" t="s">
        <v>51</v>
      </c>
      <c r="F216" s="14">
        <v>2599</v>
      </c>
      <c r="G216" s="14">
        <v>324</v>
      </c>
      <c r="H216" s="14">
        <v>182</v>
      </c>
      <c r="I216" s="14">
        <v>37525</v>
      </c>
      <c r="J216" s="14">
        <v>37216</v>
      </c>
      <c r="K216" s="14">
        <v>186</v>
      </c>
      <c r="L216" s="29" t="s">
        <v>23</v>
      </c>
      <c r="M216" s="29" t="s">
        <v>36</v>
      </c>
      <c r="N216" s="29" t="s">
        <v>25</v>
      </c>
      <c r="O216" s="29" t="str">
        <f>IF(AND(C216&gt;='Task 1.2'!$B$2,C216&lt;='Task 1.2'!$C$2),"During","Before")</f>
        <v>Before</v>
      </c>
      <c r="P216" s="26">
        <f ca="1">AVERAGEIF(O216:O514,"Before",Posts[[#This Row],[engagement rate]])</f>
        <v>9.4588105389117629</v>
      </c>
      <c r="Q216" s="26">
        <f t="shared" si="4"/>
        <v>12.009519158990084</v>
      </c>
      <c r="R216" s="26">
        <f ca="1">Posts[[#This Row],[Avg. During]]-Posts[[#This Row],[Avg. Before]]/Posts[[#This Row],[Avg. Before]]</f>
        <v>11.009519158990084</v>
      </c>
      <c r="S216" s="26">
        <v>8.7701532311792132</v>
      </c>
    </row>
    <row r="217" spans="1:19">
      <c r="A217" s="29" t="s">
        <v>255</v>
      </c>
      <c r="B217" s="29" t="s">
        <v>27</v>
      </c>
      <c r="C217" s="38">
        <v>45669</v>
      </c>
      <c r="D217" s="29" t="s">
        <v>16</v>
      </c>
      <c r="E217" s="29" t="s">
        <v>35</v>
      </c>
      <c r="F217" s="14">
        <v>1765</v>
      </c>
      <c r="G217" s="14">
        <v>285</v>
      </c>
      <c r="H217" s="14">
        <v>100</v>
      </c>
      <c r="I217" s="14">
        <v>41313</v>
      </c>
      <c r="J217" s="14">
        <v>56575</v>
      </c>
      <c r="K217" s="14">
        <v>174</v>
      </c>
      <c r="L217" s="29" t="s">
        <v>18</v>
      </c>
      <c r="M217" s="29" t="s">
        <v>24</v>
      </c>
      <c r="N217" s="29" t="s">
        <v>25</v>
      </c>
      <c r="O217" s="29" t="str">
        <f>IF(AND(C217&gt;='Task 1.2'!$B$2,C217&lt;='Task 1.2'!$C$2),"During","Before")</f>
        <v>Before</v>
      </c>
      <c r="P217" s="26">
        <f ca="1">AVERAGEIF(O217:O515,"Before",Posts[[#This Row],[engagement rate]])</f>
        <v>9.4677541403108876</v>
      </c>
      <c r="Q217" s="26">
        <f t="shared" si="4"/>
        <v>9.289494299910233</v>
      </c>
      <c r="R217" s="26">
        <f ca="1">Posts[[#This Row],[Avg. During]]-Posts[[#This Row],[Avg. Before]]/Posts[[#This Row],[Avg. Before]]</f>
        <v>8.289494299910233</v>
      </c>
      <c r="S217" s="26">
        <v>5.6253479534287028</v>
      </c>
    </row>
    <row r="218" spans="1:19">
      <c r="A218" s="29" t="s">
        <v>256</v>
      </c>
      <c r="B218" s="29" t="s">
        <v>15</v>
      </c>
      <c r="C218" s="38">
        <v>45808</v>
      </c>
      <c r="D218" s="29" t="s">
        <v>16</v>
      </c>
      <c r="E218" s="29" t="s">
        <v>38</v>
      </c>
      <c r="F218" s="14">
        <v>2169</v>
      </c>
      <c r="G218" s="14">
        <v>240</v>
      </c>
      <c r="H218" s="14">
        <v>57</v>
      </c>
      <c r="I218" s="14">
        <v>26109</v>
      </c>
      <c r="J218" s="14">
        <v>46667</v>
      </c>
      <c r="K218" s="14">
        <v>133</v>
      </c>
      <c r="L218" s="29" t="s">
        <v>18</v>
      </c>
      <c r="M218" s="29" t="s">
        <v>19</v>
      </c>
      <c r="N218" s="29" t="s">
        <v>20</v>
      </c>
      <c r="O218" s="29" t="str">
        <f>IF(AND(C218&gt;='Task 1.2'!$B$2,C218&lt;='Task 1.2'!$C$2),"During","Before")</f>
        <v>Before</v>
      </c>
      <c r="P218" s="26">
        <f ca="1">AVERAGEIF(O218:O516,"Before",Posts[[#This Row],[engagement rate]])</f>
        <v>9.5183121164540712</v>
      </c>
      <c r="Q218" s="26">
        <f t="shared" si="4"/>
        <v>11.508082389138218</v>
      </c>
      <c r="R218" s="26">
        <f ca="1">Posts[[#This Row],[Avg. During]]-Posts[[#This Row],[Avg. Before]]/Posts[[#This Row],[Avg. Before]]</f>
        <v>10.508082389138218</v>
      </c>
      <c r="S218" s="26">
        <v>9.9544218468727248</v>
      </c>
    </row>
    <row r="219" spans="1:19">
      <c r="A219" s="29" t="s">
        <v>257</v>
      </c>
      <c r="B219" s="29" t="s">
        <v>27</v>
      </c>
      <c r="C219" s="38">
        <v>45579</v>
      </c>
      <c r="D219" s="29" t="s">
        <v>28</v>
      </c>
      <c r="E219" s="29" t="s">
        <v>22</v>
      </c>
      <c r="F219" s="14">
        <v>4303</v>
      </c>
      <c r="G219" s="14">
        <v>306</v>
      </c>
      <c r="H219" s="14">
        <v>302</v>
      </c>
      <c r="I219" s="14">
        <v>39575</v>
      </c>
      <c r="J219" s="14">
        <v>33762</v>
      </c>
      <c r="K219" s="14">
        <v>265</v>
      </c>
      <c r="L219" s="29" t="s">
        <v>23</v>
      </c>
      <c r="M219" s="29" t="s">
        <v>30</v>
      </c>
      <c r="N219" s="29" t="s">
        <v>20</v>
      </c>
      <c r="O219" s="29" t="str">
        <f>IF(AND(C219&gt;='Task 1.2'!$B$2,C219&lt;='Task 1.2'!$C$2),"During","Before")</f>
        <v>Before</v>
      </c>
      <c r="P219" s="26">
        <f ca="1">AVERAGEIF(O219:O517,"Before",Posts[[#This Row],[engagement rate]])</f>
        <v>9.5124973200484888</v>
      </c>
      <c r="Q219" s="26">
        <f t="shared" si="4"/>
        <v>10.27575676102127</v>
      </c>
      <c r="R219" s="26">
        <f ca="1">Posts[[#This Row],[Avg. During]]-Posts[[#This Row],[Avg. Before]]/Posts[[#This Row],[Avg. Before]]</f>
        <v>9.2757567610212703</v>
      </c>
      <c r="S219" s="26">
        <v>13.078963992419457</v>
      </c>
    </row>
    <row r="220" spans="1:19">
      <c r="A220" s="29" t="s">
        <v>258</v>
      </c>
      <c r="B220" s="29" t="s">
        <v>27</v>
      </c>
      <c r="C220" s="38">
        <v>45332</v>
      </c>
      <c r="D220" s="29" t="s">
        <v>16</v>
      </c>
      <c r="E220" s="29" t="s">
        <v>49</v>
      </c>
      <c r="F220" s="14">
        <v>1519</v>
      </c>
      <c r="G220" s="14">
        <v>456</v>
      </c>
      <c r="H220" s="14">
        <v>379</v>
      </c>
      <c r="I220" s="14">
        <v>51611</v>
      </c>
      <c r="J220" s="14">
        <v>45880</v>
      </c>
      <c r="K220" s="14">
        <v>176</v>
      </c>
      <c r="L220" s="29" t="s">
        <v>18</v>
      </c>
      <c r="M220" s="29" t="s">
        <v>24</v>
      </c>
      <c r="N220" s="29" t="s">
        <v>25</v>
      </c>
      <c r="O220" s="29" t="str">
        <f>IF(AND(C220&gt;='Task 1.2'!$B$2,C220&lt;='Task 1.2'!$C$2),"During","Before")</f>
        <v>Before</v>
      </c>
      <c r="P220" s="26">
        <f ca="1">AVERAGEIF(O220:O518,"Before",Posts[[#This Row],[engagement rate]])</f>
        <v>9.4643018244759087</v>
      </c>
      <c r="Q220" s="26">
        <f t="shared" si="4"/>
        <v>7.8275433255201605</v>
      </c>
      <c r="R220" s="26">
        <f ca="1">Posts[[#This Row],[Avg. During]]-Posts[[#This Row],[Avg. Before]]/Posts[[#This Row],[Avg. Before]]</f>
        <v>6.8275433255201605</v>
      </c>
      <c r="S220" s="26">
        <v>4.9020557633062722</v>
      </c>
    </row>
    <row r="221" spans="1:19">
      <c r="A221" s="29" t="s">
        <v>259</v>
      </c>
      <c r="B221" s="29" t="s">
        <v>34</v>
      </c>
      <c r="C221" s="38">
        <v>45636</v>
      </c>
      <c r="D221" s="29" t="s">
        <v>16</v>
      </c>
      <c r="E221" s="29" t="s">
        <v>38</v>
      </c>
      <c r="F221" s="14">
        <v>2569</v>
      </c>
      <c r="G221" s="14">
        <v>140</v>
      </c>
      <c r="H221" s="14">
        <v>375</v>
      </c>
      <c r="I221" s="14">
        <v>38372</v>
      </c>
      <c r="J221" s="14">
        <v>22102</v>
      </c>
      <c r="K221" s="14">
        <v>255</v>
      </c>
      <c r="L221" s="29" t="s">
        <v>23</v>
      </c>
      <c r="M221" s="29" t="s">
        <v>36</v>
      </c>
      <c r="N221" s="29" t="s">
        <v>25</v>
      </c>
      <c r="O221" s="29" t="str">
        <f>IF(AND(C221&gt;='Task 1.2'!$B$2,C221&lt;='Task 1.2'!$C$2),"During","Before")</f>
        <v>Before</v>
      </c>
      <c r="P221" s="26">
        <f ca="1">AVERAGEIF(O221:O519,"Before",Posts[[#This Row],[engagement rate]])</f>
        <v>9.5267983458617955</v>
      </c>
      <c r="Q221" s="26">
        <f t="shared" si="4"/>
        <v>9.3199708393836111</v>
      </c>
      <c r="R221" s="26">
        <f ca="1">Posts[[#This Row],[Avg. During]]-Posts[[#This Row],[Avg. Before]]/Posts[[#This Row],[Avg. Before]]</f>
        <v>8.3199708393836111</v>
      </c>
      <c r="S221" s="26">
        <v>8.7016574585635365</v>
      </c>
    </row>
    <row r="222" spans="1:19">
      <c r="A222" s="29" t="s">
        <v>260</v>
      </c>
      <c r="B222" s="29" t="s">
        <v>27</v>
      </c>
      <c r="C222" s="38">
        <v>45786</v>
      </c>
      <c r="D222" s="29" t="s">
        <v>28</v>
      </c>
      <c r="E222" s="29" t="s">
        <v>35</v>
      </c>
      <c r="F222" s="14">
        <v>2778</v>
      </c>
      <c r="G222" s="14">
        <v>241</v>
      </c>
      <c r="H222" s="14">
        <v>317</v>
      </c>
      <c r="I222" s="14">
        <v>26247</v>
      </c>
      <c r="J222" s="14">
        <v>20677</v>
      </c>
      <c r="K222" s="14">
        <v>282</v>
      </c>
      <c r="L222" s="29" t="s">
        <v>30</v>
      </c>
      <c r="M222" s="29" t="s">
        <v>19</v>
      </c>
      <c r="N222" s="29" t="s">
        <v>20</v>
      </c>
      <c r="O222" s="29" t="str">
        <f>IF(AND(C222&gt;='Task 1.2'!$B$2,C222&lt;='Task 1.2'!$C$2),"During","Before")</f>
        <v>Before</v>
      </c>
      <c r="P222" s="26">
        <f ca="1">AVERAGEIF(O222:O520,"Before",Posts[[#This Row],[engagement rate]])</f>
        <v>9.5382586359631585</v>
      </c>
      <c r="Q222" s="26">
        <f t="shared" si="4"/>
        <v>11.956324272906416</v>
      </c>
      <c r="R222" s="26">
        <f ca="1">Posts[[#This Row],[Avg. During]]-Posts[[#This Row],[Avg. Before]]/Posts[[#This Row],[Avg. Before]]</f>
        <v>10.956324272906416</v>
      </c>
      <c r="S222" s="26">
        <v>13.78443250657218</v>
      </c>
    </row>
    <row r="223" spans="1:19">
      <c r="A223" s="29" t="s">
        <v>261</v>
      </c>
      <c r="B223" s="29" t="s">
        <v>27</v>
      </c>
      <c r="C223" s="38">
        <v>45829</v>
      </c>
      <c r="D223" s="29" t="s">
        <v>16</v>
      </c>
      <c r="E223" s="29" t="s">
        <v>22</v>
      </c>
      <c r="F223" s="14">
        <v>3611</v>
      </c>
      <c r="G223" s="14">
        <v>127</v>
      </c>
      <c r="H223" s="14">
        <v>139</v>
      </c>
      <c r="I223" s="14">
        <v>44768</v>
      </c>
      <c r="J223" s="14">
        <v>29435</v>
      </c>
      <c r="K223" s="14">
        <v>178</v>
      </c>
      <c r="L223" s="29" t="s">
        <v>19</v>
      </c>
      <c r="M223" s="29" t="s">
        <v>24</v>
      </c>
      <c r="N223" s="29" t="s">
        <v>20</v>
      </c>
      <c r="O223" s="29" t="str">
        <f>IF(AND(C223&gt;='Task 1.2'!$B$2,C223&lt;='Task 1.2'!$C$2),"During","Before")</f>
        <v>Before</v>
      </c>
      <c r="P223" s="26">
        <f ca="1">AVERAGEIF(O223:O521,"Before",Posts[[#This Row],[engagement rate]])</f>
        <v>9.4784533701799312</v>
      </c>
      <c r="Q223" s="26">
        <f t="shared" si="4"/>
        <v>8.7671170577237572</v>
      </c>
      <c r="R223" s="26">
        <f ca="1">Posts[[#This Row],[Avg. During]]-Posts[[#This Row],[Avg. Before]]/Posts[[#This Row],[Avg. Before]]</f>
        <v>7.7671170577237572</v>
      </c>
      <c r="S223" s="26">
        <v>9.0578091493924227</v>
      </c>
    </row>
    <row r="224" spans="1:19">
      <c r="A224" s="29" t="s">
        <v>262</v>
      </c>
      <c r="B224" s="29" t="s">
        <v>27</v>
      </c>
      <c r="C224" s="38">
        <v>45462</v>
      </c>
      <c r="D224" s="29" t="s">
        <v>16</v>
      </c>
      <c r="E224" s="29" t="s">
        <v>38</v>
      </c>
      <c r="F224" s="14">
        <v>1224</v>
      </c>
      <c r="G224" s="14">
        <v>168</v>
      </c>
      <c r="H224" s="14">
        <v>199</v>
      </c>
      <c r="I224" s="14">
        <v>54232</v>
      </c>
      <c r="J224" s="14">
        <v>52844</v>
      </c>
      <c r="K224" s="14">
        <v>271</v>
      </c>
      <c r="L224" s="29" t="s">
        <v>18</v>
      </c>
      <c r="M224" s="29" t="s">
        <v>24</v>
      </c>
      <c r="N224" s="29" t="s">
        <v>25</v>
      </c>
      <c r="O224" s="29" t="str">
        <f>IF(AND(C224&gt;='Task 1.2'!$B$2,C224&lt;='Task 1.2'!$C$2),"During","Before")</f>
        <v>During</v>
      </c>
      <c r="P224" s="26">
        <f ca="1">AVERAGEIF(O224:O522,"Before",Posts[[#This Row],[engagement rate]])</f>
        <v>9.4844625733340386</v>
      </c>
      <c r="Q224" s="26">
        <f t="shared" si="4"/>
        <v>7.0534757066532077</v>
      </c>
      <c r="R224" s="26">
        <f ca="1">Posts[[#This Row],[Avg. During]]-Posts[[#This Row],[Avg. Before]]/Posts[[#This Row],[Avg. Before]]</f>
        <v>6.0534757066532077</v>
      </c>
      <c r="S224" s="26">
        <v>3.433397256232483</v>
      </c>
    </row>
    <row r="225" spans="1:19">
      <c r="A225" s="29" t="s">
        <v>263</v>
      </c>
      <c r="B225" s="29" t="s">
        <v>27</v>
      </c>
      <c r="C225" s="38">
        <v>45636</v>
      </c>
      <c r="D225" s="29" t="s">
        <v>16</v>
      </c>
      <c r="E225" s="29" t="s">
        <v>49</v>
      </c>
      <c r="F225" s="14">
        <v>4673</v>
      </c>
      <c r="G225" s="14">
        <v>270</v>
      </c>
      <c r="H225" s="14">
        <v>93</v>
      </c>
      <c r="I225" s="14">
        <v>45260</v>
      </c>
      <c r="J225" s="14">
        <v>57513</v>
      </c>
      <c r="K225" s="14">
        <v>103</v>
      </c>
      <c r="L225" s="29" t="s">
        <v>19</v>
      </c>
      <c r="M225" s="29" t="s">
        <v>24</v>
      </c>
      <c r="N225" s="29" t="s">
        <v>20</v>
      </c>
      <c r="O225" s="29" t="str">
        <f>IF(AND(C225&gt;='Task 1.2'!$B$2,C225&lt;='Task 1.2'!$C$2),"During","Before")</f>
        <v>Before</v>
      </c>
      <c r="P225" s="26">
        <f ca="1">AVERAGEIF(O225:O523,"Before",Posts[[#This Row],[engagement rate]])</f>
        <v>9.4844625733340386</v>
      </c>
      <c r="Q225" s="26">
        <f t="shared" si="4"/>
        <v>10.022298264773694</v>
      </c>
      <c r="R225" s="26">
        <f ca="1">Posts[[#This Row],[Avg. During]]-Posts[[#This Row],[Avg. Before]]/Posts[[#This Row],[Avg. Before]]</f>
        <v>9.0222982647736938</v>
      </c>
      <c r="S225" s="26">
        <v>11.354396818382678</v>
      </c>
    </row>
    <row r="226" spans="1:19">
      <c r="A226" s="29" t="s">
        <v>264</v>
      </c>
      <c r="B226" s="29" t="s">
        <v>34</v>
      </c>
      <c r="C226" s="38">
        <v>45323</v>
      </c>
      <c r="D226" s="29" t="s">
        <v>16</v>
      </c>
      <c r="E226" s="29" t="s">
        <v>32</v>
      </c>
      <c r="F226" s="14">
        <v>1432</v>
      </c>
      <c r="G226" s="14">
        <v>437</v>
      </c>
      <c r="H226" s="14">
        <v>267</v>
      </c>
      <c r="I226" s="14">
        <v>40634</v>
      </c>
      <c r="J226" s="14">
        <v>54511</v>
      </c>
      <c r="K226" s="14">
        <v>197</v>
      </c>
      <c r="L226" s="29" t="s">
        <v>23</v>
      </c>
      <c r="M226" s="29" t="s">
        <v>36</v>
      </c>
      <c r="N226" s="29" t="s">
        <v>25</v>
      </c>
      <c r="O226" s="29" t="str">
        <f>IF(AND(C226&gt;='Task 1.2'!$B$2,C226&lt;='Task 1.2'!$C$2),"During","Before")</f>
        <v>Before</v>
      </c>
      <c r="P226" s="26">
        <f ca="1">AVERAGEIF(O226:O524,"Before",Posts[[#This Row],[engagement rate]])</f>
        <v>9.4573620770289875</v>
      </c>
      <c r="Q226" s="26">
        <f t="shared" si="4"/>
        <v>9.5692316483800415</v>
      </c>
      <c r="R226" s="26">
        <f ca="1">Posts[[#This Row],[Avg. During]]-Posts[[#This Row],[Avg. Before]]/Posts[[#This Row],[Avg. Before]]</f>
        <v>8.5692316483800415</v>
      </c>
      <c r="S226" s="26">
        <v>5.7414972682974854</v>
      </c>
    </row>
    <row r="227" spans="1:19">
      <c r="A227" s="29" t="s">
        <v>265</v>
      </c>
      <c r="B227" s="29" t="s">
        <v>27</v>
      </c>
      <c r="C227" s="38">
        <v>45308</v>
      </c>
      <c r="D227" s="29" t="s">
        <v>28</v>
      </c>
      <c r="E227" s="29" t="s">
        <v>29</v>
      </c>
      <c r="F227" s="14">
        <v>2174</v>
      </c>
      <c r="G227" s="14">
        <v>499</v>
      </c>
      <c r="H227" s="14">
        <v>212</v>
      </c>
      <c r="I227" s="14">
        <v>54938</v>
      </c>
      <c r="J227" s="14">
        <v>27190</v>
      </c>
      <c r="K227" s="14">
        <v>265</v>
      </c>
      <c r="L227" s="29" t="s">
        <v>30</v>
      </c>
      <c r="M227" s="29" t="s">
        <v>19</v>
      </c>
      <c r="N227" s="29" t="s">
        <v>20</v>
      </c>
      <c r="O227" s="29" t="str">
        <f>IF(AND(C227&gt;='Task 1.2'!$B$2,C227&lt;='Task 1.2'!$C$2),"During","Before")</f>
        <v>Before</v>
      </c>
      <c r="P227" s="26">
        <f ca="1">AVERAGEIF(O227:O525,"Before",Posts[[#This Row],[engagement rate]])</f>
        <v>9.5120071477456261</v>
      </c>
      <c r="Q227" s="26">
        <f t="shared" si="4"/>
        <v>8.2490829060061319</v>
      </c>
      <c r="R227" s="26">
        <f ca="1">Posts[[#This Row],[Avg. During]]-Posts[[#This Row],[Avg. Before]]/Posts[[#This Row],[Avg. Before]]</f>
        <v>7.2490829060061319</v>
      </c>
      <c r="S227" s="26">
        <v>5.7337362117295863</v>
      </c>
    </row>
    <row r="228" spans="1:19">
      <c r="A228" s="29" t="s">
        <v>266</v>
      </c>
      <c r="B228" s="29" t="s">
        <v>34</v>
      </c>
      <c r="C228" s="38">
        <v>45738</v>
      </c>
      <c r="D228" s="29" t="s">
        <v>16</v>
      </c>
      <c r="E228" s="29" t="s">
        <v>35</v>
      </c>
      <c r="F228" s="14">
        <v>4308</v>
      </c>
      <c r="G228" s="14">
        <v>171</v>
      </c>
      <c r="H228" s="14">
        <v>106</v>
      </c>
      <c r="I228" s="14">
        <v>36955</v>
      </c>
      <c r="J228" s="14">
        <v>23949</v>
      </c>
      <c r="K228" s="14">
        <v>294</v>
      </c>
      <c r="L228" s="29" t="s">
        <v>23</v>
      </c>
      <c r="M228" s="29" t="s">
        <v>36</v>
      </c>
      <c r="N228" s="29" t="s">
        <v>25</v>
      </c>
      <c r="O228" s="29" t="str">
        <f>IF(AND(C228&gt;='Task 1.2'!$B$2,C228&lt;='Task 1.2'!$C$2),"During","Before")</f>
        <v>Before</v>
      </c>
      <c r="P228" s="26">
        <f ca="1">AVERAGEIF(O228:O526,"Before",Posts[[#This Row],[engagement rate]])</f>
        <v>9.5683992512682536</v>
      </c>
      <c r="Q228" s="26">
        <f t="shared" si="4"/>
        <v>13.29240581463432</v>
      </c>
      <c r="R228" s="26">
        <f ca="1">Posts[[#This Row],[Avg. During]]-Posts[[#This Row],[Avg. Before]]/Posts[[#This Row],[Avg. Before]]</f>
        <v>12.29240581463432</v>
      </c>
      <c r="S228" s="26">
        <v>13.202543634149642</v>
      </c>
    </row>
    <row r="229" spans="1:19">
      <c r="A229" s="29" t="s">
        <v>267</v>
      </c>
      <c r="B229" s="29" t="s">
        <v>34</v>
      </c>
      <c r="C229" s="38">
        <v>45442</v>
      </c>
      <c r="D229" s="29" t="s">
        <v>57</v>
      </c>
      <c r="E229" s="29" t="s">
        <v>38</v>
      </c>
      <c r="F229" s="14">
        <v>1060</v>
      </c>
      <c r="G229" s="14">
        <v>442</v>
      </c>
      <c r="H229" s="14">
        <v>319</v>
      </c>
      <c r="I229" s="14">
        <v>57194</v>
      </c>
      <c r="J229" s="14">
        <v>24258</v>
      </c>
      <c r="K229" s="14">
        <v>101</v>
      </c>
      <c r="L229" s="29" t="s">
        <v>23</v>
      </c>
      <c r="M229" s="29" t="s">
        <v>18</v>
      </c>
      <c r="N229" s="29" t="s">
        <v>58</v>
      </c>
      <c r="O229" s="29" t="str">
        <f>IF(AND(C229&gt;='Task 1.2'!$B$2,C229&lt;='Task 1.2'!$C$2),"During","Before")</f>
        <v>Before</v>
      </c>
      <c r="P229" s="26">
        <f ca="1">AVERAGEIF(O229:O527,"Before",Posts[[#This Row],[engagement rate]])</f>
        <v>9.5133364575882329</v>
      </c>
      <c r="Q229" s="26">
        <f t="shared" si="4"/>
        <v>11.559939353156583</v>
      </c>
      <c r="R229" s="26">
        <f ca="1">Posts[[#This Row],[Avg. During]]-Posts[[#This Row],[Avg. Before]]/Posts[[#This Row],[Avg. Before]]</f>
        <v>10.559939353156583</v>
      </c>
      <c r="S229" s="26">
        <v>3.3604923593383922</v>
      </c>
    </row>
    <row r="230" spans="1:19">
      <c r="A230" s="29" t="s">
        <v>268</v>
      </c>
      <c r="B230" s="29" t="s">
        <v>34</v>
      </c>
      <c r="C230" s="38">
        <v>45346</v>
      </c>
      <c r="D230" s="29" t="s">
        <v>16</v>
      </c>
      <c r="E230" s="29" t="s">
        <v>35</v>
      </c>
      <c r="F230" s="14">
        <v>4653</v>
      </c>
      <c r="G230" s="14">
        <v>226</v>
      </c>
      <c r="H230" s="14">
        <v>349</v>
      </c>
      <c r="I230" s="14">
        <v>56876</v>
      </c>
      <c r="J230" s="14">
        <v>28452</v>
      </c>
      <c r="K230" s="14">
        <v>257</v>
      </c>
      <c r="L230" s="29" t="s">
        <v>23</v>
      </c>
      <c r="M230" s="29" t="s">
        <v>36</v>
      </c>
      <c r="N230" s="29" t="s">
        <v>25</v>
      </c>
      <c r="O230" s="29" t="str">
        <f>IF(AND(C230&gt;='Task 1.2'!$B$2,C230&lt;='Task 1.2'!$C$2),"During","Before")</f>
        <v>Before</v>
      </c>
      <c r="P230" s="26">
        <f ca="1">AVERAGEIF(O230:O528,"Before",Posts[[#This Row],[engagement rate]])</f>
        <v>9.6079955975613061</v>
      </c>
      <c r="Q230" s="26">
        <f t="shared" si="4"/>
        <v>10.208360300191504</v>
      </c>
      <c r="R230" s="26">
        <f ca="1">Posts[[#This Row],[Avg. During]]-Posts[[#This Row],[Avg. Before]]/Posts[[#This Row],[Avg. Before]]</f>
        <v>9.2083603001915044</v>
      </c>
      <c r="S230" s="26">
        <v>9.6437864828750257</v>
      </c>
    </row>
    <row r="231" spans="1:19">
      <c r="A231" s="29" t="s">
        <v>269</v>
      </c>
      <c r="B231" s="29" t="s">
        <v>34</v>
      </c>
      <c r="C231" s="38">
        <v>45791</v>
      </c>
      <c r="D231" s="29" t="s">
        <v>16</v>
      </c>
      <c r="E231" s="29" t="s">
        <v>17</v>
      </c>
      <c r="F231" s="14">
        <v>1701</v>
      </c>
      <c r="G231" s="14">
        <v>272</v>
      </c>
      <c r="H231" s="14">
        <v>385</v>
      </c>
      <c r="I231" s="14">
        <v>47496</v>
      </c>
      <c r="J231" s="14">
        <v>40832</v>
      </c>
      <c r="K231" s="14">
        <v>246</v>
      </c>
      <c r="L231" s="29" t="s">
        <v>23</v>
      </c>
      <c r="M231" s="29" t="s">
        <v>36</v>
      </c>
      <c r="N231" s="29" t="s">
        <v>25</v>
      </c>
      <c r="O231" s="29" t="str">
        <f>IF(AND(C231&gt;='Task 1.2'!$B$2,C231&lt;='Task 1.2'!$C$2),"During","Before")</f>
        <v>Before</v>
      </c>
      <c r="P231" s="26">
        <f ca="1">AVERAGEIF(O231:O529,"Before",Posts[[#This Row],[engagement rate]])</f>
        <v>9.6074363649782786</v>
      </c>
      <c r="Q231" s="26">
        <f t="shared" si="4"/>
        <v>13.588589145539217</v>
      </c>
      <c r="R231" s="26">
        <f ca="1">Posts[[#This Row],[Avg. During]]-Posts[[#This Row],[Avg. Before]]/Posts[[#This Row],[Avg. Before]]</f>
        <v>12.588589145539217</v>
      </c>
      <c r="S231" s="26">
        <v>5.482566953006569</v>
      </c>
    </row>
    <row r="232" spans="1:19">
      <c r="A232" s="29" t="s">
        <v>270</v>
      </c>
      <c r="B232" s="29" t="s">
        <v>15</v>
      </c>
      <c r="C232" s="38">
        <v>45379</v>
      </c>
      <c r="D232" s="29" t="s">
        <v>16</v>
      </c>
      <c r="E232" s="29" t="s">
        <v>38</v>
      </c>
      <c r="F232" s="14">
        <v>1673</v>
      </c>
      <c r="G232" s="14">
        <v>280</v>
      </c>
      <c r="H232" s="14">
        <v>67</v>
      </c>
      <c r="I232" s="14">
        <v>29847</v>
      </c>
      <c r="J232" s="14">
        <v>48016</v>
      </c>
      <c r="K232" s="14">
        <v>213</v>
      </c>
      <c r="L232" s="29" t="s">
        <v>18</v>
      </c>
      <c r="M232" s="29" t="s">
        <v>19</v>
      </c>
      <c r="N232" s="29" t="s">
        <v>20</v>
      </c>
      <c r="O232" s="29" t="str">
        <f>IF(AND(C232&gt;='Task 1.2'!$B$2,C232&lt;='Task 1.2'!$C$2),"During","Before")</f>
        <v>Before</v>
      </c>
      <c r="P232" s="26">
        <f ca="1">AVERAGEIF(O232:O530,"Before",Posts[[#This Row],[engagement rate]])</f>
        <v>9.6729104826286232</v>
      </c>
      <c r="Q232" s="26">
        <f t="shared" si="4"/>
        <v>11.973046787579495</v>
      </c>
      <c r="R232" s="26">
        <f ca="1">Posts[[#This Row],[Avg. During]]-Posts[[#This Row],[Avg. Before]]/Posts[[#This Row],[Avg. Before]]</f>
        <v>10.973046787579495</v>
      </c>
      <c r="S232" s="26">
        <v>7.4814889268603206</v>
      </c>
    </row>
    <row r="233" spans="1:19">
      <c r="A233" s="29" t="s">
        <v>271</v>
      </c>
      <c r="B233" s="29" t="s">
        <v>34</v>
      </c>
      <c r="C233" s="38">
        <v>45723</v>
      </c>
      <c r="D233" s="29" t="s">
        <v>16</v>
      </c>
      <c r="E233" s="29" t="s">
        <v>43</v>
      </c>
      <c r="F233" s="14">
        <v>4310</v>
      </c>
      <c r="G233" s="14">
        <v>284</v>
      </c>
      <c r="H233" s="14">
        <v>306</v>
      </c>
      <c r="I233" s="14">
        <v>44606</v>
      </c>
      <c r="J233" s="14">
        <v>42604</v>
      </c>
      <c r="K233" s="14">
        <v>290</v>
      </c>
      <c r="L233" s="29" t="s">
        <v>23</v>
      </c>
      <c r="M233" s="29" t="s">
        <v>36</v>
      </c>
      <c r="N233" s="29" t="s">
        <v>25</v>
      </c>
      <c r="O233" s="29" t="str">
        <f>IF(AND(C233&gt;='Task 1.2'!$B$2,C233&lt;='Task 1.2'!$C$2),"During","Before")</f>
        <v>Before</v>
      </c>
      <c r="P233" s="26">
        <f ca="1">AVERAGEIF(O233:O531,"Before",Posts[[#This Row],[engagement rate]])</f>
        <v>9.7082559915926279</v>
      </c>
      <c r="Q233" s="26">
        <f t="shared" si="4"/>
        <v>8.1771085894812927</v>
      </c>
      <c r="R233" s="26">
        <f ca="1">Posts[[#This Row],[Avg. During]]-Posts[[#This Row],[Avg. Before]]/Posts[[#This Row],[Avg. Before]]</f>
        <v>7.1771085894812927</v>
      </c>
      <c r="S233" s="26">
        <v>11.635206026095144</v>
      </c>
    </row>
    <row r="234" spans="1:19">
      <c r="A234" s="29" t="s">
        <v>272</v>
      </c>
      <c r="B234" s="29" t="s">
        <v>27</v>
      </c>
      <c r="C234" s="38">
        <v>45585</v>
      </c>
      <c r="D234" s="29" t="s">
        <v>16</v>
      </c>
      <c r="E234" s="29" t="s">
        <v>49</v>
      </c>
      <c r="F234" s="14">
        <v>2752</v>
      </c>
      <c r="G234" s="14">
        <v>309</v>
      </c>
      <c r="H234" s="14">
        <v>91</v>
      </c>
      <c r="I234" s="14">
        <v>39038</v>
      </c>
      <c r="J234" s="14">
        <v>28095</v>
      </c>
      <c r="K234" s="14">
        <v>277</v>
      </c>
      <c r="L234" s="29" t="s">
        <v>19</v>
      </c>
      <c r="M234" s="29" t="s">
        <v>24</v>
      </c>
      <c r="N234" s="29" t="s">
        <v>20</v>
      </c>
      <c r="O234" s="29" t="str">
        <f>IF(AND(C234&gt;='Task 1.2'!$B$2,C234&lt;='Task 1.2'!$C$2),"During","Before")</f>
        <v>Before</v>
      </c>
      <c r="P234" s="26">
        <f ca="1">AVERAGEIF(O234:O532,"Before",Posts[[#This Row],[engagement rate]])</f>
        <v>9.6766666467647173</v>
      </c>
      <c r="Q234" s="26">
        <f t="shared" si="4"/>
        <v>9.2760117219107165</v>
      </c>
      <c r="R234" s="26">
        <f ca="1">Posts[[#This Row],[Avg. During]]-Posts[[#This Row],[Avg. Before]]/Posts[[#This Row],[Avg. Before]]</f>
        <v>8.2760117219107165</v>
      </c>
      <c r="S234" s="26">
        <v>8.7837491674778416</v>
      </c>
    </row>
    <row r="235" spans="1:19">
      <c r="A235" s="29" t="s">
        <v>273</v>
      </c>
      <c r="B235" s="29" t="s">
        <v>27</v>
      </c>
      <c r="C235" s="38">
        <v>45324</v>
      </c>
      <c r="D235" s="29" t="s">
        <v>16</v>
      </c>
      <c r="E235" s="29" t="s">
        <v>49</v>
      </c>
      <c r="F235" s="14">
        <v>3818</v>
      </c>
      <c r="G235" s="14">
        <v>115</v>
      </c>
      <c r="H235" s="14">
        <v>286</v>
      </c>
      <c r="I235" s="14">
        <v>25127</v>
      </c>
      <c r="J235" s="14">
        <v>22277</v>
      </c>
      <c r="K235" s="14">
        <v>263</v>
      </c>
      <c r="L235" s="29" t="s">
        <v>19</v>
      </c>
      <c r="M235" s="29" t="s">
        <v>24</v>
      </c>
      <c r="N235" s="29" t="s">
        <v>20</v>
      </c>
      <c r="O235" s="29" t="str">
        <f>IF(AND(C235&gt;='Task 1.2'!$B$2,C235&lt;='Task 1.2'!$C$2),"During","Before")</f>
        <v>Before</v>
      </c>
      <c r="P235" s="26">
        <f ca="1">AVERAGEIF(O235:O533,"Before",Posts[[#This Row],[engagement rate]])</f>
        <v>9.6915486047528319</v>
      </c>
      <c r="Q235" s="26">
        <f t="shared" si="4"/>
        <v>9.0014452430042411</v>
      </c>
      <c r="R235" s="26">
        <f ca="1">Posts[[#This Row],[Avg. During]]-Posts[[#This Row],[Avg. Before]]/Posts[[#This Row],[Avg. Before]]</f>
        <v>8.0014452430042411</v>
      </c>
      <c r="S235" s="26">
        <v>17.837386078720101</v>
      </c>
    </row>
    <row r="236" spans="1:19">
      <c r="A236" s="29" t="s">
        <v>274</v>
      </c>
      <c r="B236" s="29" t="s">
        <v>34</v>
      </c>
      <c r="C236" s="38">
        <v>45542</v>
      </c>
      <c r="D236" s="29" t="s">
        <v>16</v>
      </c>
      <c r="E236" s="29" t="s">
        <v>51</v>
      </c>
      <c r="F236" s="14">
        <v>2101</v>
      </c>
      <c r="G236" s="14">
        <v>411</v>
      </c>
      <c r="H236" s="14">
        <v>190</v>
      </c>
      <c r="I236" s="14">
        <v>41791</v>
      </c>
      <c r="J236" s="14">
        <v>57090</v>
      </c>
      <c r="K236" s="14">
        <v>172</v>
      </c>
      <c r="L236" s="29" t="s">
        <v>23</v>
      </c>
      <c r="M236" s="29" t="s">
        <v>36</v>
      </c>
      <c r="N236" s="29" t="s">
        <v>25</v>
      </c>
      <c r="O236" s="29" t="str">
        <f>IF(AND(C236&gt;='Task 1.2'!$B$2,C236&lt;='Task 1.2'!$C$2),"During","Before")</f>
        <v>Before</v>
      </c>
      <c r="P236" s="26">
        <f ca="1">AVERAGEIF(O236:O534,"Before",Posts[[#This Row],[engagement rate]])</f>
        <v>9.5534835628211816</v>
      </c>
      <c r="Q236" s="26">
        <f t="shared" si="4"/>
        <v>12.329657364590176</v>
      </c>
      <c r="R236" s="26">
        <f ca="1">Posts[[#This Row],[Avg. During]]-Posts[[#This Row],[Avg. Before]]/Posts[[#This Row],[Avg. Before]]</f>
        <v>11.329657364590176</v>
      </c>
      <c r="S236" s="26">
        <v>6.8770787968701397</v>
      </c>
    </row>
    <row r="237" spans="1:19">
      <c r="A237" s="29" t="s">
        <v>275</v>
      </c>
      <c r="B237" s="29" t="s">
        <v>15</v>
      </c>
      <c r="C237" s="38">
        <v>45646</v>
      </c>
      <c r="D237" s="29" t="s">
        <v>16</v>
      </c>
      <c r="E237" s="29" t="s">
        <v>17</v>
      </c>
      <c r="F237" s="14">
        <v>2519</v>
      </c>
      <c r="G237" s="14">
        <v>202</v>
      </c>
      <c r="H237" s="14">
        <v>239</v>
      </c>
      <c r="I237" s="14">
        <v>36245</v>
      </c>
      <c r="J237" s="14">
        <v>48606</v>
      </c>
      <c r="K237" s="14">
        <v>145</v>
      </c>
      <c r="L237" s="29" t="s">
        <v>23</v>
      </c>
      <c r="M237" s="29" t="s">
        <v>24</v>
      </c>
      <c r="N237" s="29" t="s">
        <v>25</v>
      </c>
      <c r="O237" s="29" t="str">
        <f>IF(AND(C237&gt;='Task 1.2'!$B$2,C237&lt;='Task 1.2'!$C$2),"During","Before")</f>
        <v>Before</v>
      </c>
      <c r="P237" s="26">
        <f ca="1">AVERAGEIF(O237:O535,"Before",Posts[[#This Row],[engagement rate]])</f>
        <v>9.5996284725789582</v>
      </c>
      <c r="Q237" s="26">
        <f t="shared" si="4"/>
        <v>10.019513076802799</v>
      </c>
      <c r="R237" s="26">
        <f ca="1">Posts[[#This Row],[Avg. During]]-Posts[[#This Row],[Avg. Before]]/Posts[[#This Row],[Avg. Before]]</f>
        <v>9.0195130768027987</v>
      </c>
      <c r="S237" s="26">
        <v>8.5666988550144847</v>
      </c>
    </row>
    <row r="238" spans="1:19">
      <c r="A238" s="29" t="s">
        <v>276</v>
      </c>
      <c r="B238" s="29" t="s">
        <v>34</v>
      </c>
      <c r="C238" s="38">
        <v>45305</v>
      </c>
      <c r="D238" s="29" t="s">
        <v>16</v>
      </c>
      <c r="E238" s="29" t="s">
        <v>38</v>
      </c>
      <c r="F238" s="14">
        <v>4502</v>
      </c>
      <c r="G238" s="14">
        <v>238</v>
      </c>
      <c r="H238" s="14">
        <v>386</v>
      </c>
      <c r="I238" s="14">
        <v>39198</v>
      </c>
      <c r="J238" s="14">
        <v>25050</v>
      </c>
      <c r="K238" s="14">
        <v>297</v>
      </c>
      <c r="L238" s="29" t="s">
        <v>23</v>
      </c>
      <c r="M238" s="29" t="s">
        <v>36</v>
      </c>
      <c r="N238" s="29" t="s">
        <v>25</v>
      </c>
      <c r="O238" s="29" t="str">
        <f>IF(AND(C238&gt;='Task 1.2'!$B$2,C238&lt;='Task 1.2'!$C$2),"During","Before")</f>
        <v>Before</v>
      </c>
      <c r="P238" s="26">
        <f ca="1">AVERAGEIF(O238:O536,"Before",Posts[[#This Row],[engagement rate]])</f>
        <v>9.6177500448169315</v>
      </c>
      <c r="Q238" s="26">
        <f t="shared" si="4"/>
        <v>6.965763900212762</v>
      </c>
      <c r="R238" s="26">
        <f ca="1">Posts[[#This Row],[Avg. During]]-Posts[[#This Row],[Avg. Before]]/Posts[[#This Row],[Avg. Before]]</f>
        <v>5.965763900212762</v>
      </c>
      <c r="S238" s="26">
        <v>13.834889535180366</v>
      </c>
    </row>
    <row r="239" spans="1:19">
      <c r="A239" s="29" t="s">
        <v>277</v>
      </c>
      <c r="B239" s="29" t="s">
        <v>15</v>
      </c>
      <c r="C239" s="38">
        <v>45823</v>
      </c>
      <c r="D239" s="29" t="s">
        <v>16</v>
      </c>
      <c r="E239" s="29" t="s">
        <v>22</v>
      </c>
      <c r="F239" s="14">
        <v>2478</v>
      </c>
      <c r="G239" s="14">
        <v>427</v>
      </c>
      <c r="H239" s="14">
        <v>242</v>
      </c>
      <c r="I239" s="14">
        <v>59272</v>
      </c>
      <c r="J239" s="14">
        <v>37833</v>
      </c>
      <c r="K239" s="14">
        <v>214</v>
      </c>
      <c r="L239" s="29" t="s">
        <v>18</v>
      </c>
      <c r="M239" s="29" t="s">
        <v>19</v>
      </c>
      <c r="N239" s="29" t="s">
        <v>20</v>
      </c>
      <c r="O239" s="29" t="str">
        <f>IF(AND(C239&gt;='Task 1.2'!$B$2,C239&lt;='Task 1.2'!$C$2),"During","Before")</f>
        <v>Before</v>
      </c>
      <c r="P239" s="26">
        <f ca="1">AVERAGEIF(O239:O537,"Before",Posts[[#This Row],[engagement rate]])</f>
        <v>9.542443982489015</v>
      </c>
      <c r="Q239" s="26">
        <f t="shared" si="4"/>
        <v>6.8049057969385913</v>
      </c>
      <c r="R239" s="26">
        <f ca="1">Posts[[#This Row],[Avg. During]]-Posts[[#This Row],[Avg. Before]]/Posts[[#This Row],[Avg. Before]]</f>
        <v>5.8049057969385913</v>
      </c>
      <c r="S239" s="26">
        <v>5.6704683493048993</v>
      </c>
    </row>
    <row r="240" spans="1:19">
      <c r="A240" s="29" t="s">
        <v>278</v>
      </c>
      <c r="B240" s="29" t="s">
        <v>27</v>
      </c>
      <c r="C240" s="38">
        <v>45639</v>
      </c>
      <c r="D240" s="29" t="s">
        <v>28</v>
      </c>
      <c r="E240" s="29" t="s">
        <v>29</v>
      </c>
      <c r="F240" s="14">
        <v>4984</v>
      </c>
      <c r="G240" s="14">
        <v>300</v>
      </c>
      <c r="H240" s="14">
        <v>338</v>
      </c>
      <c r="I240" s="14">
        <v>32900</v>
      </c>
      <c r="J240" s="14">
        <v>31691</v>
      </c>
      <c r="K240" s="14">
        <v>160</v>
      </c>
      <c r="L240" s="29" t="s">
        <v>30</v>
      </c>
      <c r="M240" s="29" t="s">
        <v>19</v>
      </c>
      <c r="N240" s="29" t="s">
        <v>20</v>
      </c>
      <c r="O240" s="29" t="str">
        <f>IF(AND(C240&gt;='Task 1.2'!$B$2,C240&lt;='Task 1.2'!$C$2),"During","Before")</f>
        <v>Before</v>
      </c>
      <c r="P240" s="26">
        <f ca="1">AVERAGEIF(O240:O538,"Before",Posts[[#This Row],[engagement rate]])</f>
        <v>9.6128435394559961</v>
      </c>
      <c r="Q240" s="26">
        <f t="shared" si="4"/>
        <v>7.4123670956415495</v>
      </c>
      <c r="R240" s="26">
        <f ca="1">Posts[[#This Row],[Avg. During]]-Posts[[#This Row],[Avg. Before]]/Posts[[#This Row],[Avg. Before]]</f>
        <v>6.4123670956415495</v>
      </c>
      <c r="S240" s="26">
        <v>17.574468085106382</v>
      </c>
    </row>
    <row r="241" spans="1:19">
      <c r="A241" s="29" t="s">
        <v>279</v>
      </c>
      <c r="B241" s="29" t="s">
        <v>34</v>
      </c>
      <c r="C241" s="38">
        <v>45533</v>
      </c>
      <c r="D241" s="29" t="s">
        <v>16</v>
      </c>
      <c r="E241" s="29" t="s">
        <v>32</v>
      </c>
      <c r="F241" s="14">
        <v>4774</v>
      </c>
      <c r="G241" s="14">
        <v>389</v>
      </c>
      <c r="H241" s="14">
        <v>358</v>
      </c>
      <c r="I241" s="14">
        <v>52346</v>
      </c>
      <c r="J241" s="14">
        <v>30518</v>
      </c>
      <c r="K241" s="14">
        <v>277</v>
      </c>
      <c r="L241" s="29" t="s">
        <v>23</v>
      </c>
      <c r="M241" s="29" t="s">
        <v>36</v>
      </c>
      <c r="N241" s="29" t="s">
        <v>25</v>
      </c>
      <c r="O241" s="29" t="str">
        <f>IF(AND(C241&gt;='Task 1.2'!$B$2,C241&lt;='Task 1.2'!$C$2),"During","Before")</f>
        <v>Before</v>
      </c>
      <c r="P241" s="26">
        <f ca="1">AVERAGEIF(O241:O539,"Before",Posts[[#This Row],[engagement rate]])</f>
        <v>9.4654060478698803</v>
      </c>
      <c r="Q241" s="26">
        <f t="shared" si="4"/>
        <v>6.8856295608498703</v>
      </c>
      <c r="R241" s="26">
        <f ca="1">Posts[[#This Row],[Avg. During]]-Posts[[#This Row],[Avg. Before]]/Posts[[#This Row],[Avg. Before]]</f>
        <v>5.8856295608498703</v>
      </c>
      <c r="S241" s="26">
        <v>11.076300003820732</v>
      </c>
    </row>
    <row r="242" spans="1:19">
      <c r="A242" s="29" t="s">
        <v>280</v>
      </c>
      <c r="B242" s="29" t="s">
        <v>27</v>
      </c>
      <c r="C242" s="38">
        <v>45550</v>
      </c>
      <c r="D242" s="29" t="s">
        <v>16</v>
      </c>
      <c r="E242" s="29" t="s">
        <v>40</v>
      </c>
      <c r="F242" s="14">
        <v>2145</v>
      </c>
      <c r="G242" s="14">
        <v>340</v>
      </c>
      <c r="H242" s="14">
        <v>85</v>
      </c>
      <c r="I242" s="14">
        <v>53323</v>
      </c>
      <c r="J242" s="14">
        <v>49938</v>
      </c>
      <c r="K242" s="14">
        <v>104</v>
      </c>
      <c r="L242" s="29" t="s">
        <v>19</v>
      </c>
      <c r="M242" s="29" t="s">
        <v>24</v>
      </c>
      <c r="N242" s="29" t="s">
        <v>20</v>
      </c>
      <c r="O242" s="29" t="str">
        <f>IF(AND(C242&gt;='Task 1.2'!$B$2,C242&lt;='Task 1.2'!$C$2),"During","Before")</f>
        <v>Before</v>
      </c>
      <c r="P242" s="26">
        <f ca="1">AVERAGEIF(O242:O540,"Before",Posts[[#This Row],[engagement rate]])</f>
        <v>9.4350118222859027</v>
      </c>
      <c r="Q242" s="26">
        <f t="shared" si="4"/>
        <v>6.7994123715167909</v>
      </c>
      <c r="R242" s="26">
        <f ca="1">Posts[[#This Row],[Avg. During]]-Posts[[#This Row],[Avg. Before]]/Posts[[#This Row],[Avg. Before]]</f>
        <v>5.7994123715167909</v>
      </c>
      <c r="S242" s="26">
        <v>5.0147216023104475</v>
      </c>
    </row>
    <row r="243" spans="1:19">
      <c r="A243" s="29" t="s">
        <v>281</v>
      </c>
      <c r="B243" s="29" t="s">
        <v>27</v>
      </c>
      <c r="C243" s="38">
        <v>45759</v>
      </c>
      <c r="D243" s="29" t="s">
        <v>28</v>
      </c>
      <c r="E243" s="29" t="s">
        <v>49</v>
      </c>
      <c r="F243" s="14">
        <v>4315</v>
      </c>
      <c r="G243" s="14">
        <v>208</v>
      </c>
      <c r="H243" s="14">
        <v>273</v>
      </c>
      <c r="I243" s="14">
        <v>35780</v>
      </c>
      <c r="J243" s="14">
        <v>44349</v>
      </c>
      <c r="K243" s="14">
        <v>133</v>
      </c>
      <c r="L243" s="29" t="s">
        <v>23</v>
      </c>
      <c r="M243" s="29" t="s">
        <v>30</v>
      </c>
      <c r="N243" s="29" t="s">
        <v>20</v>
      </c>
      <c r="O243" s="29" t="str">
        <f>IF(AND(C243&gt;='Task 1.2'!$B$2,C243&lt;='Task 1.2'!$C$2),"During","Before")</f>
        <v>Before</v>
      </c>
      <c r="P243" s="26">
        <f ca="1">AVERAGEIF(O243:O541,"Before",Posts[[#This Row],[engagement rate]])</f>
        <v>9.5200174034392759</v>
      </c>
      <c r="Q243" s="26">
        <f t="shared" si="4"/>
        <v>9.3015467570861734</v>
      </c>
      <c r="R243" s="26">
        <f ca="1">Posts[[#This Row],[Avg. During]]-Posts[[#This Row],[Avg. Before]]/Posts[[#This Row],[Avg. Before]]</f>
        <v>8.3015467570861734</v>
      </c>
      <c r="S243" s="26">
        <v>13.775852431525992</v>
      </c>
    </row>
    <row r="244" spans="1:19">
      <c r="A244" s="29" t="s">
        <v>282</v>
      </c>
      <c r="B244" s="29" t="s">
        <v>27</v>
      </c>
      <c r="C244" s="38">
        <v>45636</v>
      </c>
      <c r="D244" s="29" t="s">
        <v>28</v>
      </c>
      <c r="E244" s="29" t="s">
        <v>32</v>
      </c>
      <c r="F244" s="14">
        <v>2267</v>
      </c>
      <c r="G244" s="14">
        <v>230</v>
      </c>
      <c r="H244" s="14">
        <v>243</v>
      </c>
      <c r="I244" s="14">
        <v>27904</v>
      </c>
      <c r="J244" s="14">
        <v>69771</v>
      </c>
      <c r="K244" s="14">
        <v>255</v>
      </c>
      <c r="L244" s="29" t="s">
        <v>23</v>
      </c>
      <c r="M244" s="29" t="s">
        <v>30</v>
      </c>
      <c r="N244" s="29" t="s">
        <v>20</v>
      </c>
      <c r="O244" s="29" t="str">
        <f>IF(AND(C244&gt;='Task 1.2'!$B$2,C244&lt;='Task 1.2'!$C$2),"During","Before")</f>
        <v>Before</v>
      </c>
      <c r="P244" s="26">
        <f ca="1">AVERAGEIF(O244:O542,"Before",Posts[[#This Row],[engagement rate]])</f>
        <v>9.4365696577905176</v>
      </c>
      <c r="Q244" s="26">
        <f t="shared" si="4"/>
        <v>9.5879331298330879</v>
      </c>
      <c r="R244" s="26">
        <f ca="1">Posts[[#This Row],[Avg. During]]-Posts[[#This Row],[Avg. Before]]/Posts[[#This Row],[Avg. Before]]</f>
        <v>8.5879331298330879</v>
      </c>
      <c r="S244" s="26">
        <v>10.733228211009175</v>
      </c>
    </row>
    <row r="245" spans="1:19">
      <c r="A245" s="29" t="s">
        <v>283</v>
      </c>
      <c r="B245" s="29" t="s">
        <v>34</v>
      </c>
      <c r="C245" s="38">
        <v>45816</v>
      </c>
      <c r="D245" s="29" t="s">
        <v>16</v>
      </c>
      <c r="E245" s="29" t="s">
        <v>35</v>
      </c>
      <c r="F245" s="14">
        <v>4375</v>
      </c>
      <c r="G245" s="14">
        <v>303</v>
      </c>
      <c r="H245" s="14">
        <v>294</v>
      </c>
      <c r="I245" s="14">
        <v>57468</v>
      </c>
      <c r="J245" s="14">
        <v>53397</v>
      </c>
      <c r="K245" s="14">
        <v>159</v>
      </c>
      <c r="L245" s="29" t="s">
        <v>23</v>
      </c>
      <c r="M245" s="29" t="s">
        <v>36</v>
      </c>
      <c r="N245" s="29" t="s">
        <v>25</v>
      </c>
      <c r="O245" s="29" t="str">
        <f>IF(AND(C245&gt;='Task 1.2'!$B$2,C245&lt;='Task 1.2'!$C$2),"During","Before")</f>
        <v>Before</v>
      </c>
      <c r="P245" s="26">
        <f ca="1">AVERAGEIF(O245:O543,"Before",Posts[[#This Row],[engagement rate]])</f>
        <v>9.4106364867261441</v>
      </c>
      <c r="Q245" s="26">
        <f t="shared" si="4"/>
        <v>9.7093452419268242</v>
      </c>
      <c r="R245" s="26">
        <f ca="1">Posts[[#This Row],[Avg. During]]-Posts[[#This Row],[Avg. Before]]/Posts[[#This Row],[Avg. Before]]</f>
        <v>8.7093452419268242</v>
      </c>
      <c r="S245" s="26">
        <v>8.9284471357973132</v>
      </c>
    </row>
    <row r="246" spans="1:19">
      <c r="A246" s="29" t="s">
        <v>284</v>
      </c>
      <c r="B246" s="29" t="s">
        <v>27</v>
      </c>
      <c r="C246" s="38">
        <v>45666</v>
      </c>
      <c r="D246" s="29" t="s">
        <v>28</v>
      </c>
      <c r="E246" s="29" t="s">
        <v>51</v>
      </c>
      <c r="F246" s="14">
        <v>3817</v>
      </c>
      <c r="G246" s="14">
        <v>284</v>
      </c>
      <c r="H246" s="14">
        <v>204</v>
      </c>
      <c r="I246" s="14">
        <v>46434</v>
      </c>
      <c r="J246" s="14">
        <v>53396</v>
      </c>
      <c r="K246" s="14">
        <v>104</v>
      </c>
      <c r="L246" s="29" t="s">
        <v>30</v>
      </c>
      <c r="M246" s="29" t="s">
        <v>19</v>
      </c>
      <c r="N246" s="29" t="s">
        <v>20</v>
      </c>
      <c r="O246" s="29" t="str">
        <f>IF(AND(C246&gt;='Task 1.2'!$B$2,C246&lt;='Task 1.2'!$C$2),"During","Before")</f>
        <v>Before</v>
      </c>
      <c r="P246" s="26">
        <f ca="1">AVERAGEIF(O246:O544,"Before",Posts[[#This Row],[engagement rate]])</f>
        <v>9.4204770857246931</v>
      </c>
      <c r="Q246" s="26">
        <f t="shared" si="4"/>
        <v>7.5025547387732949</v>
      </c>
      <c r="R246" s="26">
        <f ca="1">Posts[[#This Row],[Avg. During]]-Posts[[#This Row],[Avg. Before]]/Posts[[#This Row],[Avg. Before]]</f>
        <v>6.5025547387732949</v>
      </c>
      <c r="S246" s="26">
        <v>9.4951974846017997</v>
      </c>
    </row>
    <row r="247" spans="1:19">
      <c r="A247" s="29" t="s">
        <v>285</v>
      </c>
      <c r="B247" s="29" t="s">
        <v>27</v>
      </c>
      <c r="C247" s="38">
        <v>45481</v>
      </c>
      <c r="D247" s="29" t="s">
        <v>28</v>
      </c>
      <c r="E247" s="29" t="s">
        <v>43</v>
      </c>
      <c r="F247" s="14">
        <v>2981</v>
      </c>
      <c r="G247" s="14">
        <v>258</v>
      </c>
      <c r="H247" s="14">
        <v>168</v>
      </c>
      <c r="I247" s="14">
        <v>20677</v>
      </c>
      <c r="J247" s="14">
        <v>68290</v>
      </c>
      <c r="K247" s="14">
        <v>130</v>
      </c>
      <c r="L247" s="29" t="s">
        <v>18</v>
      </c>
      <c r="M247" s="29" t="s">
        <v>19</v>
      </c>
      <c r="N247" s="29" t="s">
        <v>20</v>
      </c>
      <c r="O247" s="29" t="str">
        <f>IF(AND(C247&gt;='Task 1.2'!$B$2,C247&lt;='Task 1.2'!$C$2),"During","Before")</f>
        <v>During</v>
      </c>
      <c r="P247" s="26">
        <f ca="1">AVERAGEIF(O247:O545,"Before",Posts[[#This Row],[engagement rate]])</f>
        <v>9.4189204107480862</v>
      </c>
      <c r="Q247" s="26">
        <f t="shared" si="4"/>
        <v>10.567438536834086</v>
      </c>
      <c r="R247" s="26">
        <f ca="1">Posts[[#This Row],[Avg. During]]-Posts[[#This Row],[Avg. Before]]/Posts[[#This Row],[Avg. Before]]</f>
        <v>9.5674385368340857</v>
      </c>
      <c r="S247" s="26">
        <v>17.105963147458528</v>
      </c>
    </row>
    <row r="248" spans="1:19">
      <c r="A248" s="29" t="s">
        <v>286</v>
      </c>
      <c r="B248" s="29" t="s">
        <v>27</v>
      </c>
      <c r="C248" s="38">
        <v>45551</v>
      </c>
      <c r="D248" s="29" t="s">
        <v>28</v>
      </c>
      <c r="E248" s="29" t="s">
        <v>51</v>
      </c>
      <c r="F248" s="14">
        <v>3300</v>
      </c>
      <c r="G248" s="14">
        <v>354</v>
      </c>
      <c r="H248" s="14">
        <v>397</v>
      </c>
      <c r="I248" s="14">
        <v>56773</v>
      </c>
      <c r="J248" s="14">
        <v>72110</v>
      </c>
      <c r="K248" s="14">
        <v>163</v>
      </c>
      <c r="L248" s="29" t="s">
        <v>23</v>
      </c>
      <c r="M248" s="29" t="s">
        <v>30</v>
      </c>
      <c r="N248" s="29" t="s">
        <v>20</v>
      </c>
      <c r="O248" s="29" t="str">
        <f>IF(AND(C248&gt;='Task 1.2'!$B$2,C248&lt;='Task 1.2'!$C$2),"During","Before")</f>
        <v>Before</v>
      </c>
      <c r="P248" s="26">
        <f ca="1">AVERAGEIF(O248:O546,"Before",Posts[[#This Row],[engagement rate]])</f>
        <v>9.4189204107480862</v>
      </c>
      <c r="Q248" s="26">
        <f t="shared" si="4"/>
        <v>9.4517745437762173</v>
      </c>
      <c r="R248" s="26">
        <f ca="1">Posts[[#This Row],[Avg. During]]-Posts[[#This Row],[Avg. Before]]/Posts[[#This Row],[Avg. Before]]</f>
        <v>8.4517745437762173</v>
      </c>
      <c r="S248" s="26">
        <v>7.4225424057210292</v>
      </c>
    </row>
    <row r="249" spans="1:19">
      <c r="A249" s="29" t="s">
        <v>287</v>
      </c>
      <c r="B249" s="29" t="s">
        <v>34</v>
      </c>
      <c r="C249" s="38">
        <v>45457</v>
      </c>
      <c r="D249" s="29" t="s">
        <v>57</v>
      </c>
      <c r="E249" s="29" t="s">
        <v>32</v>
      </c>
      <c r="F249" s="14">
        <v>4722</v>
      </c>
      <c r="G249" s="14">
        <v>310</v>
      </c>
      <c r="H249" s="14">
        <v>344</v>
      </c>
      <c r="I249" s="14">
        <v>27911</v>
      </c>
      <c r="J249" s="14">
        <v>19000</v>
      </c>
      <c r="K249" s="14">
        <v>225</v>
      </c>
      <c r="L249" s="29" t="s">
        <v>23</v>
      </c>
      <c r="M249" s="29" t="s">
        <v>18</v>
      </c>
      <c r="N249" s="29" t="s">
        <v>58</v>
      </c>
      <c r="O249" s="29" t="str">
        <f>IF(AND(C249&gt;='Task 1.2'!$B$2,C249&lt;='Task 1.2'!$C$2),"During","Before")</f>
        <v>Before</v>
      </c>
      <c r="P249" s="26">
        <f ca="1">AVERAGEIF(O249:O547,"Before",Posts[[#This Row],[engagement rate]])</f>
        <v>9.4613965385146201</v>
      </c>
      <c r="Q249" s="26">
        <f t="shared" si="4"/>
        <v>10.802072136872509</v>
      </c>
      <c r="R249" s="26">
        <f ca="1">Posts[[#This Row],[Avg. During]]-Posts[[#This Row],[Avg. Before]]/Posts[[#This Row],[Avg. Before]]</f>
        <v>9.8020721368725088</v>
      </c>
      <c r="S249" s="26">
        <v>20.067356956038836</v>
      </c>
    </row>
    <row r="250" spans="1:19">
      <c r="A250" s="29" t="s">
        <v>288</v>
      </c>
      <c r="B250" s="29" t="s">
        <v>15</v>
      </c>
      <c r="C250" s="38">
        <v>45357</v>
      </c>
      <c r="D250" s="29" t="s">
        <v>16</v>
      </c>
      <c r="E250" s="29" t="s">
        <v>38</v>
      </c>
      <c r="F250" s="14">
        <v>3529</v>
      </c>
      <c r="G250" s="14">
        <v>263</v>
      </c>
      <c r="H250" s="14">
        <v>107</v>
      </c>
      <c r="I250" s="14">
        <v>26570</v>
      </c>
      <c r="J250" s="14">
        <v>19367</v>
      </c>
      <c r="K250" s="14">
        <v>96</v>
      </c>
      <c r="L250" s="29" t="s">
        <v>23</v>
      </c>
      <c r="M250" s="29" t="s">
        <v>24</v>
      </c>
      <c r="N250" s="29" t="s">
        <v>25</v>
      </c>
      <c r="O250" s="29" t="str">
        <f>IF(AND(C250&gt;='Task 1.2'!$B$2,C250&lt;='Task 1.2'!$C$2),"During","Before")</f>
        <v>Before</v>
      </c>
      <c r="P250" s="26">
        <f ca="1">AVERAGEIF(O250:O548,"Before",Posts[[#This Row],[engagement rate]])</f>
        <v>9.2308321816119197</v>
      </c>
      <c r="Q250" s="26">
        <f t="shared" si="4"/>
        <v>6.2067643684000737</v>
      </c>
      <c r="R250" s="26">
        <f ca="1">Posts[[#This Row],[Avg. During]]-Posts[[#This Row],[Avg. Before]]/Posts[[#This Row],[Avg. Before]]</f>
        <v>5.2067643684000737</v>
      </c>
      <c r="S250" s="26">
        <v>15.035754610462929</v>
      </c>
    </row>
    <row r="251" spans="1:19">
      <c r="A251" s="29" t="s">
        <v>289</v>
      </c>
      <c r="B251" s="29" t="s">
        <v>27</v>
      </c>
      <c r="C251" s="38">
        <v>45792</v>
      </c>
      <c r="D251" s="29" t="s">
        <v>16</v>
      </c>
      <c r="E251" s="29" t="s">
        <v>51</v>
      </c>
      <c r="F251" s="14">
        <v>4782</v>
      </c>
      <c r="G251" s="14">
        <v>210</v>
      </c>
      <c r="H251" s="14">
        <v>311</v>
      </c>
      <c r="I251" s="14">
        <v>29793</v>
      </c>
      <c r="J251" s="14">
        <v>37543</v>
      </c>
      <c r="K251" s="14">
        <v>145</v>
      </c>
      <c r="L251" s="29" t="s">
        <v>19</v>
      </c>
      <c r="M251" s="29" t="s">
        <v>24</v>
      </c>
      <c r="N251" s="29" t="s">
        <v>20</v>
      </c>
      <c r="O251" s="29" t="str">
        <f>IF(AND(C251&gt;='Task 1.2'!$B$2,C251&lt;='Task 1.2'!$C$2),"During","Before")</f>
        <v>Before</v>
      </c>
      <c r="P251" s="26">
        <f ca="1">AVERAGEIF(O251:O549,"Before",Posts[[#This Row],[engagement rate]])</f>
        <v>9.10183390541523</v>
      </c>
      <c r="Q251" s="26">
        <f t="shared" si="4"/>
        <v>6.8758199753850429</v>
      </c>
      <c r="R251" s="26">
        <f ca="1">Posts[[#This Row],[Avg. During]]-Posts[[#This Row],[Avg. Before]]/Posts[[#This Row],[Avg. Before]]</f>
        <v>5.8758199753850429</v>
      </c>
      <c r="S251" s="26">
        <v>18.286174604772935</v>
      </c>
    </row>
    <row r="252" spans="1:19">
      <c r="A252" s="29" t="s">
        <v>290</v>
      </c>
      <c r="B252" s="29" t="s">
        <v>27</v>
      </c>
      <c r="C252" s="38">
        <v>45480</v>
      </c>
      <c r="D252" s="29" t="s">
        <v>16</v>
      </c>
      <c r="E252" s="29" t="s">
        <v>38</v>
      </c>
      <c r="F252" s="14">
        <v>1848</v>
      </c>
      <c r="G252" s="14">
        <v>417</v>
      </c>
      <c r="H252" s="14">
        <v>294</v>
      </c>
      <c r="I252" s="14">
        <v>57819</v>
      </c>
      <c r="J252" s="14">
        <v>19798</v>
      </c>
      <c r="K252" s="14">
        <v>262</v>
      </c>
      <c r="L252" s="29" t="s">
        <v>18</v>
      </c>
      <c r="M252" s="29" t="s">
        <v>24</v>
      </c>
      <c r="N252" s="29" t="s">
        <v>25</v>
      </c>
      <c r="O252" s="29" t="str">
        <f>IF(AND(C252&gt;='Task 1.2'!$B$2,C252&lt;='Task 1.2'!$C$2),"During","Before")</f>
        <v>During</v>
      </c>
      <c r="P252" s="26">
        <f ca="1">AVERAGEIF(O252:O550,"Before",Posts[[#This Row],[engagement rate]])</f>
        <v>8.8930988895207363</v>
      </c>
      <c r="Q252" s="26">
        <f t="shared" si="4"/>
        <v>8.3985658340800651</v>
      </c>
      <c r="R252" s="26">
        <f ca="1">Posts[[#This Row],[Avg. During]]-Posts[[#This Row],[Avg. Before]]/Posts[[#This Row],[Avg. Before]]</f>
        <v>7.3985658340800651</v>
      </c>
      <c r="S252" s="26">
        <v>4.8790190075926594</v>
      </c>
    </row>
    <row r="253" spans="1:19">
      <c r="A253" s="29" t="s">
        <v>291</v>
      </c>
      <c r="B253" s="29" t="s">
        <v>34</v>
      </c>
      <c r="C253" s="38">
        <v>45591</v>
      </c>
      <c r="D253" s="29" t="s">
        <v>16</v>
      </c>
      <c r="E253" s="29" t="s">
        <v>29</v>
      </c>
      <c r="F253" s="14">
        <v>4676</v>
      </c>
      <c r="G253" s="14">
        <v>211</v>
      </c>
      <c r="H253" s="14">
        <v>55</v>
      </c>
      <c r="I253" s="14">
        <v>45917</v>
      </c>
      <c r="J253" s="14">
        <v>73503</v>
      </c>
      <c r="K253" s="14">
        <v>248</v>
      </c>
      <c r="L253" s="29" t="s">
        <v>23</v>
      </c>
      <c r="M253" s="29" t="s">
        <v>36</v>
      </c>
      <c r="N253" s="29" t="s">
        <v>25</v>
      </c>
      <c r="O253" s="29" t="str">
        <f>IF(AND(C253&gt;='Task 1.2'!$B$2,C253&lt;='Task 1.2'!$C$2),"During","Before")</f>
        <v>Before</v>
      </c>
      <c r="P253" s="26">
        <f ca="1">AVERAGEIF(O253:O551,"Before",Posts[[#This Row],[engagement rate]])</f>
        <v>8.8930988895207363</v>
      </c>
      <c r="Q253" s="26">
        <f t="shared" si="4"/>
        <v>10.665019113668016</v>
      </c>
      <c r="R253" s="26">
        <f ca="1">Posts[[#This Row],[Avg. During]]-Posts[[#This Row],[Avg. Before]]/Posts[[#This Row],[Avg. Before]]</f>
        <v>9.6650191136680164</v>
      </c>
      <c r="S253" s="26">
        <v>11.303003244985517</v>
      </c>
    </row>
    <row r="254" spans="1:19">
      <c r="A254" s="29" t="s">
        <v>292</v>
      </c>
      <c r="B254" s="29" t="s">
        <v>34</v>
      </c>
      <c r="C254" s="38">
        <v>45512</v>
      </c>
      <c r="D254" s="29" t="s">
        <v>16</v>
      </c>
      <c r="E254" s="29" t="s">
        <v>49</v>
      </c>
      <c r="F254" s="14">
        <v>1994</v>
      </c>
      <c r="G254" s="14">
        <v>197</v>
      </c>
      <c r="H254" s="14">
        <v>290</v>
      </c>
      <c r="I254" s="14">
        <v>49500</v>
      </c>
      <c r="J254" s="14">
        <v>23343</v>
      </c>
      <c r="K254" s="14">
        <v>160</v>
      </c>
      <c r="L254" s="29" t="s">
        <v>23</v>
      </c>
      <c r="M254" s="29" t="s">
        <v>36</v>
      </c>
      <c r="N254" s="29" t="s">
        <v>25</v>
      </c>
      <c r="O254" s="29" t="str">
        <f>IF(AND(C254&gt;='Task 1.2'!$B$2,C254&lt;='Task 1.2'!$C$2),"During","Before")</f>
        <v>Before</v>
      </c>
      <c r="P254" s="26">
        <f ca="1">AVERAGEIF(O254:O552,"Before",Posts[[#This Row],[engagement rate]])</f>
        <v>8.837054602184347</v>
      </c>
      <c r="Q254" s="26">
        <f t="shared" si="4"/>
        <v>9.1398176266252538</v>
      </c>
      <c r="R254" s="26">
        <f ca="1">Posts[[#This Row],[Avg. During]]-Posts[[#This Row],[Avg. Before]]/Posts[[#This Row],[Avg. Before]]</f>
        <v>8.1398176266252538</v>
      </c>
      <c r="S254" s="26">
        <v>5.3353535353535353</v>
      </c>
    </row>
    <row r="255" spans="1:19">
      <c r="A255" s="29" t="s">
        <v>293</v>
      </c>
      <c r="B255" s="29" t="s">
        <v>27</v>
      </c>
      <c r="C255" s="38">
        <v>45691</v>
      </c>
      <c r="D255" s="29" t="s">
        <v>16</v>
      </c>
      <c r="E255" s="29" t="s">
        <v>38</v>
      </c>
      <c r="F255" s="14">
        <v>4995</v>
      </c>
      <c r="G255" s="14">
        <v>231</v>
      </c>
      <c r="H255" s="14">
        <v>94</v>
      </c>
      <c r="I255" s="14">
        <v>34431</v>
      </c>
      <c r="J255" s="14">
        <v>32560</v>
      </c>
      <c r="K255" s="14">
        <v>262</v>
      </c>
      <c r="L255" s="29" t="s">
        <v>19</v>
      </c>
      <c r="M255" s="29" t="s">
        <v>24</v>
      </c>
      <c r="N255" s="29" t="s">
        <v>20</v>
      </c>
      <c r="O255" s="29" t="str">
        <f>IF(AND(C255&gt;='Task 1.2'!$B$2,C255&lt;='Task 1.2'!$C$2),"During","Before")</f>
        <v>Before</v>
      </c>
      <c r="P255" s="26">
        <f ca="1">AVERAGEIF(O255:O553,"Before",Posts[[#This Row],[engagement rate]])</f>
        <v>8.9204284371088907</v>
      </c>
      <c r="Q255" s="26">
        <f t="shared" si="4"/>
        <v>6.2861814483199945</v>
      </c>
      <c r="R255" s="26">
        <f ca="1">Posts[[#This Row],[Avg. During]]-Posts[[#This Row],[Avg. Before]]/Posts[[#This Row],[Avg. Before]]</f>
        <v>5.2861814483199945</v>
      </c>
      <c r="S255" s="26">
        <v>16.212134413755049</v>
      </c>
    </row>
    <row r="256" spans="1:19">
      <c r="A256" s="29" t="s">
        <v>294</v>
      </c>
      <c r="B256" s="29" t="s">
        <v>27</v>
      </c>
      <c r="C256" s="38">
        <v>45385</v>
      </c>
      <c r="D256" s="29" t="s">
        <v>28</v>
      </c>
      <c r="E256" s="29" t="s">
        <v>43</v>
      </c>
      <c r="F256" s="14">
        <v>2291</v>
      </c>
      <c r="G256" s="14">
        <v>146</v>
      </c>
      <c r="H256" s="14">
        <v>399</v>
      </c>
      <c r="I256" s="14">
        <v>49319</v>
      </c>
      <c r="J256" s="14">
        <v>28056</v>
      </c>
      <c r="K256" s="14">
        <v>90</v>
      </c>
      <c r="L256" s="29" t="s">
        <v>23</v>
      </c>
      <c r="M256" s="29" t="s">
        <v>30</v>
      </c>
      <c r="N256" s="29" t="s">
        <v>20</v>
      </c>
      <c r="O256" s="29" t="str">
        <f>IF(AND(C256&gt;='Task 1.2'!$B$2,C256&lt;='Task 1.2'!$C$2),"During","Before")</f>
        <v>Before</v>
      </c>
      <c r="P256" s="26">
        <f ca="1">AVERAGEIF(O256:O554,"Before",Posts[[#This Row],[engagement rate]])</f>
        <v>8.7425819498736193</v>
      </c>
      <c r="Q256" s="26">
        <f t="shared" si="4"/>
        <v>6.3514532698019615</v>
      </c>
      <c r="R256" s="26">
        <f ca="1">Posts[[#This Row],[Avg. During]]-Posts[[#This Row],[Avg. Before]]/Posts[[#This Row],[Avg. Before]]</f>
        <v>5.3514532698019615</v>
      </c>
      <c r="S256" s="26">
        <v>5.9328048013950001</v>
      </c>
    </row>
    <row r="257" spans="1:19">
      <c r="A257" s="29" t="s">
        <v>295</v>
      </c>
      <c r="B257" s="29" t="s">
        <v>27</v>
      </c>
      <c r="C257" s="38">
        <v>45481</v>
      </c>
      <c r="D257" s="29" t="s">
        <v>28</v>
      </c>
      <c r="E257" s="29" t="s">
        <v>32</v>
      </c>
      <c r="F257" s="14">
        <v>2304</v>
      </c>
      <c r="G257" s="14">
        <v>289</v>
      </c>
      <c r="H257" s="14">
        <v>161</v>
      </c>
      <c r="I257" s="14">
        <v>52645</v>
      </c>
      <c r="J257" s="14">
        <v>66262</v>
      </c>
      <c r="K257" s="14">
        <v>146</v>
      </c>
      <c r="L257" s="29" t="s">
        <v>30</v>
      </c>
      <c r="M257" s="29" t="s">
        <v>19</v>
      </c>
      <c r="N257" s="29" t="s">
        <v>20</v>
      </c>
      <c r="O257" s="29" t="str">
        <f>IF(AND(C257&gt;='Task 1.2'!$B$2,C257&lt;='Task 1.2'!$C$2),"During","Before")</f>
        <v>During</v>
      </c>
      <c r="P257" s="26">
        <f ca="1">AVERAGEIF(O257:O555,"Before",Posts[[#This Row],[engagement rate]])</f>
        <v>8.8128263785855836</v>
      </c>
      <c r="Q257" s="26">
        <f t="shared" si="4"/>
        <v>7.8339342921900794</v>
      </c>
      <c r="R257" s="26">
        <f ca="1">Posts[[#This Row],[Avg. During]]-Posts[[#This Row],[Avg. Before]]/Posts[[#This Row],[Avg. Before]]</f>
        <v>6.8339342921900794</v>
      </c>
      <c r="S257" s="26">
        <v>5.5085953081964103</v>
      </c>
    </row>
    <row r="258" spans="1:19">
      <c r="A258" s="29" t="s">
        <v>296</v>
      </c>
      <c r="B258" s="29" t="s">
        <v>27</v>
      </c>
      <c r="C258" s="38">
        <v>45451</v>
      </c>
      <c r="D258" s="29" t="s">
        <v>28</v>
      </c>
      <c r="E258" s="29" t="s">
        <v>43</v>
      </c>
      <c r="F258" s="14">
        <v>3413</v>
      </c>
      <c r="G258" s="14">
        <v>326</v>
      </c>
      <c r="H258" s="14">
        <v>86</v>
      </c>
      <c r="I258" s="14">
        <v>44680</v>
      </c>
      <c r="J258" s="14">
        <v>52719</v>
      </c>
      <c r="K258" s="14">
        <v>272</v>
      </c>
      <c r="L258" s="29" t="s">
        <v>23</v>
      </c>
      <c r="M258" s="29" t="s">
        <v>30</v>
      </c>
      <c r="N258" s="29" t="s">
        <v>20</v>
      </c>
      <c r="O258" s="29" t="str">
        <f>IF(AND(C258&gt;='Task 1.2'!$B$2,C258&lt;='Task 1.2'!$C$2),"During","Before")</f>
        <v>Before</v>
      </c>
      <c r="P258" s="26">
        <f ca="1">AVERAGEIF(O258:O556,"Before",Posts[[#This Row],[engagement rate]])</f>
        <v>8.8128263785855836</v>
      </c>
      <c r="Q258" s="26">
        <f t="shared" si="4"/>
        <v>7.9422521402357882</v>
      </c>
      <c r="R258" s="26">
        <f ca="1">Posts[[#This Row],[Avg. During]]-Posts[[#This Row],[Avg. Before]]/Posts[[#This Row],[Avg. Before]]</f>
        <v>6.9422521402357882</v>
      </c>
      <c r="S258" s="26">
        <v>9.1696508504923901</v>
      </c>
    </row>
    <row r="259" spans="1:19">
      <c r="A259" s="29" t="s">
        <v>297</v>
      </c>
      <c r="B259" s="29" t="s">
        <v>34</v>
      </c>
      <c r="C259" s="38">
        <v>45736</v>
      </c>
      <c r="D259" s="29" t="s">
        <v>57</v>
      </c>
      <c r="E259" s="29" t="s">
        <v>49</v>
      </c>
      <c r="F259" s="14">
        <v>1453</v>
      </c>
      <c r="G259" s="14">
        <v>156</v>
      </c>
      <c r="H259" s="14">
        <v>178</v>
      </c>
      <c r="I259" s="14">
        <v>52980</v>
      </c>
      <c r="J259" s="14">
        <v>57180</v>
      </c>
      <c r="K259" s="14">
        <v>286</v>
      </c>
      <c r="L259" s="29" t="s">
        <v>23</v>
      </c>
      <c r="M259" s="29" t="s">
        <v>18</v>
      </c>
      <c r="N259" s="29" t="s">
        <v>58</v>
      </c>
      <c r="O259" s="29" t="str">
        <f>IF(AND(C259&gt;='Task 1.2'!$B$2,C259&lt;='Task 1.2'!$C$2),"During","Before")</f>
        <v>Before</v>
      </c>
      <c r="P259" s="26">
        <f ca="1">AVERAGEIF(O259:O557,"Before",Posts[[#This Row],[engagement rate]])</f>
        <v>8.8036770331520771</v>
      </c>
      <c r="Q259" s="26">
        <f t="shared" ref="Q259:Q282" si="5">AVERAGEIF($O$2:$O$300, "During",S259:S557)</f>
        <v>7.6281434413974116</v>
      </c>
      <c r="R259" s="26">
        <f ca="1">Posts[[#This Row],[Avg. During]]-Posts[[#This Row],[Avg. Before]]/Posts[[#This Row],[Avg. Before]]</f>
        <v>6.6281434413974116</v>
      </c>
      <c r="S259" s="26">
        <v>3.9127972819932051</v>
      </c>
    </row>
    <row r="260" spans="1:19">
      <c r="A260" s="29" t="s">
        <v>298</v>
      </c>
      <c r="B260" s="29" t="s">
        <v>27</v>
      </c>
      <c r="C260" s="38">
        <v>45676</v>
      </c>
      <c r="D260" s="29" t="s">
        <v>28</v>
      </c>
      <c r="E260" s="29" t="s">
        <v>35</v>
      </c>
      <c r="F260" s="14">
        <v>1651</v>
      </c>
      <c r="G260" s="14">
        <v>480</v>
      </c>
      <c r="H260" s="14">
        <v>282</v>
      </c>
      <c r="I260" s="14">
        <v>32140</v>
      </c>
      <c r="J260" s="14">
        <v>70560</v>
      </c>
      <c r="K260" s="14">
        <v>138</v>
      </c>
      <c r="L260" s="29" t="s">
        <v>18</v>
      </c>
      <c r="M260" s="29" t="s">
        <v>19</v>
      </c>
      <c r="N260" s="29" t="s">
        <v>20</v>
      </c>
      <c r="O260" s="29" t="str">
        <f>IF(AND(C260&gt;='Task 1.2'!$B$2,C260&lt;='Task 1.2'!$C$2),"During","Before")</f>
        <v>Before</v>
      </c>
      <c r="P260" s="26">
        <f ca="1">AVERAGEIF(O260:O558,"Before",Posts[[#This Row],[engagement rate]])</f>
        <v>8.9323843950246786</v>
      </c>
      <c r="Q260" s="26">
        <f t="shared" si="5"/>
        <v>8.0466802620141173</v>
      </c>
      <c r="R260" s="26">
        <f ca="1">Posts[[#This Row],[Avg. During]]-Posts[[#This Row],[Avg. Before]]/Posts[[#This Row],[Avg. Before]]</f>
        <v>7.0466802620141173</v>
      </c>
      <c r="S260" s="26">
        <v>7.9371499688861231</v>
      </c>
    </row>
    <row r="261" spans="1:19">
      <c r="A261" s="29" t="s">
        <v>299</v>
      </c>
      <c r="B261" s="29" t="s">
        <v>27</v>
      </c>
      <c r="C261" s="38">
        <v>45662</v>
      </c>
      <c r="D261" s="29" t="s">
        <v>28</v>
      </c>
      <c r="E261" s="29" t="s">
        <v>22</v>
      </c>
      <c r="F261" s="14">
        <v>3341</v>
      </c>
      <c r="G261" s="14">
        <v>154</v>
      </c>
      <c r="H261" s="14">
        <v>123</v>
      </c>
      <c r="I261" s="14">
        <v>43369</v>
      </c>
      <c r="J261" s="14">
        <v>49035</v>
      </c>
      <c r="K261" s="14">
        <v>128</v>
      </c>
      <c r="L261" s="29" t="s">
        <v>30</v>
      </c>
      <c r="M261" s="29" t="s">
        <v>19</v>
      </c>
      <c r="N261" s="29" t="s">
        <v>20</v>
      </c>
      <c r="O261" s="29" t="str">
        <f>IF(AND(C261&gt;='Task 1.2'!$B$2,C261&lt;='Task 1.2'!$C$2),"During","Before")</f>
        <v>Before</v>
      </c>
      <c r="P261" s="26">
        <f ca="1">AVERAGEIF(O261:O559,"Before",Posts[[#This Row],[engagement rate]])</f>
        <v>8.9592826227581543</v>
      </c>
      <c r="Q261" s="26">
        <f t="shared" si="5"/>
        <v>14.196186797428886</v>
      </c>
      <c r="R261" s="26">
        <f ca="1">Posts[[#This Row],[Avg. During]]-Posts[[#This Row],[Avg. Before]]/Posts[[#This Row],[Avg. Before]]</f>
        <v>13.196186797428886</v>
      </c>
      <c r="S261" s="26">
        <v>8.6375060527104619</v>
      </c>
    </row>
    <row r="262" spans="1:19">
      <c r="A262" s="29" t="s">
        <v>300</v>
      </c>
      <c r="B262" s="29" t="s">
        <v>27</v>
      </c>
      <c r="C262" s="38">
        <v>45612</v>
      </c>
      <c r="D262" s="29" t="s">
        <v>16</v>
      </c>
      <c r="E262" s="29" t="s">
        <v>49</v>
      </c>
      <c r="F262" s="14">
        <v>2972</v>
      </c>
      <c r="G262" s="14">
        <v>263</v>
      </c>
      <c r="H262" s="14">
        <v>308</v>
      </c>
      <c r="I262" s="14">
        <v>51740</v>
      </c>
      <c r="J262" s="14">
        <v>28214</v>
      </c>
      <c r="K262" s="14">
        <v>190</v>
      </c>
      <c r="L262" s="29" t="s">
        <v>18</v>
      </c>
      <c r="M262" s="29" t="s">
        <v>24</v>
      </c>
      <c r="N262" s="29" t="s">
        <v>25</v>
      </c>
      <c r="O262" s="29" t="str">
        <f>IF(AND(C262&gt;='Task 1.2'!$B$2,C262&lt;='Task 1.2'!$C$2),"During","Before")</f>
        <v>Before</v>
      </c>
      <c r="P262" s="26">
        <f ca="1">AVERAGEIF(O262:O560,"Before",Posts[[#This Row],[engagement rate]])</f>
        <v>8.968220860815034</v>
      </c>
      <c r="Q262" s="26">
        <f t="shared" si="5"/>
        <v>16.561239103745251</v>
      </c>
      <c r="R262" s="26">
        <f ca="1">Posts[[#This Row],[Avg. During]]-Posts[[#This Row],[Avg. Before]]/Posts[[#This Row],[Avg. Before]]</f>
        <v>15.561239103745251</v>
      </c>
      <c r="S262" s="26">
        <v>7.2149207576343262</v>
      </c>
    </row>
    <row r="263" spans="1:19">
      <c r="A263" s="29" t="s">
        <v>301</v>
      </c>
      <c r="B263" s="29" t="s">
        <v>27</v>
      </c>
      <c r="C263" s="38">
        <v>45626</v>
      </c>
      <c r="D263" s="29" t="s">
        <v>28</v>
      </c>
      <c r="E263" s="29" t="s">
        <v>22</v>
      </c>
      <c r="F263" s="14">
        <v>4963</v>
      </c>
      <c r="G263" s="14">
        <v>255</v>
      </c>
      <c r="H263" s="14">
        <v>193</v>
      </c>
      <c r="I263" s="14">
        <v>44386</v>
      </c>
      <c r="J263" s="14">
        <v>28415</v>
      </c>
      <c r="K263" s="14">
        <v>174</v>
      </c>
      <c r="L263" s="29" t="s">
        <v>30</v>
      </c>
      <c r="M263" s="29" t="s">
        <v>19</v>
      </c>
      <c r="N263" s="29" t="s">
        <v>20</v>
      </c>
      <c r="O263" s="29" t="str">
        <f>IF(AND(C263&gt;='Task 1.2'!$B$2,C263&lt;='Task 1.2'!$C$2),"During","Before")</f>
        <v>Before</v>
      </c>
      <c r="P263" s="26">
        <f ca="1">AVERAGEIF(O263:O561,"Before",Posts[[#This Row],[engagement rate]])</f>
        <v>9.0183151494773384</v>
      </c>
      <c r="Q263" s="26">
        <f t="shared" si="5"/>
        <v>11.007576921207857</v>
      </c>
      <c r="R263" s="26">
        <f ca="1">Posts[[#This Row],[Avg. During]]-Posts[[#This Row],[Avg. Before]]/Posts[[#This Row],[Avg. Before]]</f>
        <v>10.007576921207857</v>
      </c>
      <c r="S263" s="26">
        <v>12.582796377236066</v>
      </c>
    </row>
    <row r="264" spans="1:19">
      <c r="A264" s="29" t="s">
        <v>302</v>
      </c>
      <c r="B264" s="29" t="s">
        <v>34</v>
      </c>
      <c r="C264" s="38">
        <v>45378</v>
      </c>
      <c r="D264" s="29" t="s">
        <v>16</v>
      </c>
      <c r="E264" s="29" t="s">
        <v>35</v>
      </c>
      <c r="F264" s="14">
        <v>2399</v>
      </c>
      <c r="G264" s="14">
        <v>191</v>
      </c>
      <c r="H264" s="14">
        <v>221</v>
      </c>
      <c r="I264" s="14">
        <v>51603</v>
      </c>
      <c r="J264" s="14">
        <v>40033</v>
      </c>
      <c r="K264" s="14">
        <v>173</v>
      </c>
      <c r="L264" s="29" t="s">
        <v>23</v>
      </c>
      <c r="M264" s="29" t="s">
        <v>36</v>
      </c>
      <c r="N264" s="29" t="s">
        <v>25</v>
      </c>
      <c r="O264" s="29" t="str">
        <f>IF(AND(C264&gt;='Task 1.2'!$B$2,C264&lt;='Task 1.2'!$C$2),"During","Before")</f>
        <v>Before</v>
      </c>
      <c r="P264" s="26">
        <f ca="1">AVERAGEIF(O264:O562,"Before",Posts[[#This Row],[engagement rate]])</f>
        <v>8.9134774663079632</v>
      </c>
      <c r="Q264" s="26">
        <f t="shared" si="5"/>
        <v>8.0568566280385845</v>
      </c>
      <c r="R264" s="26">
        <f ca="1">Posts[[#This Row],[Avg. During]]-Posts[[#This Row],[Avg. Before]]/Posts[[#This Row],[Avg. Before]]</f>
        <v>7.0568566280385845</v>
      </c>
      <c r="S264" s="26">
        <v>5.7826095382051435</v>
      </c>
    </row>
    <row r="265" spans="1:19">
      <c r="A265" s="29" t="s">
        <v>303</v>
      </c>
      <c r="B265" s="29" t="s">
        <v>34</v>
      </c>
      <c r="C265" s="38">
        <v>45808</v>
      </c>
      <c r="D265" s="29" t="s">
        <v>57</v>
      </c>
      <c r="E265" s="29" t="s">
        <v>40</v>
      </c>
      <c r="F265" s="14">
        <v>2162</v>
      </c>
      <c r="G265" s="14">
        <v>318</v>
      </c>
      <c r="H265" s="14">
        <v>83</v>
      </c>
      <c r="I265" s="14">
        <v>46719</v>
      </c>
      <c r="J265" s="14">
        <v>20482</v>
      </c>
      <c r="K265" s="14">
        <v>185</v>
      </c>
      <c r="L265" s="29" t="s">
        <v>23</v>
      </c>
      <c r="M265" s="29" t="s">
        <v>18</v>
      </c>
      <c r="N265" s="29" t="s">
        <v>58</v>
      </c>
      <c r="O265" s="29" t="str">
        <f>IF(AND(C265&gt;='Task 1.2'!$B$2,C265&lt;='Task 1.2'!$C$2),"During","Before")</f>
        <v>Before</v>
      </c>
      <c r="P265" s="26">
        <f ca="1">AVERAGEIF(O265:O563,"Before",Posts[[#This Row],[engagement rate]])</f>
        <v>9.0083522520080486</v>
      </c>
      <c r="Q265" s="26">
        <f t="shared" si="5"/>
        <v>7.4455621932830134</v>
      </c>
      <c r="R265" s="26">
        <f ca="1">Posts[[#This Row],[Avg. During]]-Posts[[#This Row],[Avg. Before]]/Posts[[#This Row],[Avg. Before]]</f>
        <v>6.4455621932830134</v>
      </c>
      <c r="S265" s="26">
        <v>5.8819752135105627</v>
      </c>
    </row>
    <row r="266" spans="1:19">
      <c r="A266" s="29" t="s">
        <v>304</v>
      </c>
      <c r="B266" s="29" t="s">
        <v>27</v>
      </c>
      <c r="C266" s="38">
        <v>45825</v>
      </c>
      <c r="D266" s="29" t="s">
        <v>28</v>
      </c>
      <c r="E266" s="29" t="s">
        <v>22</v>
      </c>
      <c r="F266" s="14">
        <v>4341</v>
      </c>
      <c r="G266" s="14">
        <v>141</v>
      </c>
      <c r="H266" s="14">
        <v>63</v>
      </c>
      <c r="I266" s="14">
        <v>50081</v>
      </c>
      <c r="J266" s="14">
        <v>27507</v>
      </c>
      <c r="K266" s="14">
        <v>221</v>
      </c>
      <c r="L266" s="29" t="s">
        <v>23</v>
      </c>
      <c r="M266" s="29" t="s">
        <v>30</v>
      </c>
      <c r="N266" s="29" t="s">
        <v>20</v>
      </c>
      <c r="O266" s="29" t="str">
        <f>IF(AND(C266&gt;='Task 1.2'!$B$2,C266&lt;='Task 1.2'!$C$2),"During","Before")</f>
        <v>Before</v>
      </c>
      <c r="P266" s="26">
        <f ca="1">AVERAGEIF(O266:O564,"Before",Posts[[#This Row],[engagement rate]])</f>
        <v>9.1060515344610966</v>
      </c>
      <c r="Q266" s="26">
        <f t="shared" si="5"/>
        <v>8.9807972930546676</v>
      </c>
      <c r="R266" s="26">
        <f ca="1">Posts[[#This Row],[Avg. During]]-Posts[[#This Row],[Avg. Before]]/Posts[[#This Row],[Avg. Before]]</f>
        <v>7.9807972930546676</v>
      </c>
      <c r="S266" s="26">
        <v>9.516583135320781</v>
      </c>
    </row>
    <row r="267" spans="1:19">
      <c r="A267" s="29" t="s">
        <v>305</v>
      </c>
      <c r="B267" s="29" t="s">
        <v>15</v>
      </c>
      <c r="C267" s="38">
        <v>45442</v>
      </c>
      <c r="D267" s="29" t="s">
        <v>28</v>
      </c>
      <c r="E267" s="29" t="s">
        <v>40</v>
      </c>
      <c r="F267" s="14">
        <v>2448</v>
      </c>
      <c r="G267" s="14">
        <v>464</v>
      </c>
      <c r="H267" s="14">
        <v>98</v>
      </c>
      <c r="I267" s="14">
        <v>25737</v>
      </c>
      <c r="J267" s="14">
        <v>48545</v>
      </c>
      <c r="K267" s="14">
        <v>246</v>
      </c>
      <c r="L267" s="29" t="s">
        <v>19</v>
      </c>
      <c r="M267" s="29" t="s">
        <v>24</v>
      </c>
      <c r="N267" s="29" t="s">
        <v>55</v>
      </c>
      <c r="O267" s="29" t="str">
        <f>IF(AND(C267&gt;='Task 1.2'!$B$2,C267&lt;='Task 1.2'!$C$2),"During","Before")</f>
        <v>Before</v>
      </c>
      <c r="P267" s="26">
        <f ca="1">AVERAGEIF(O267:O565,"Before",Posts[[#This Row],[engagement rate]])</f>
        <v>9.0928085795946547</v>
      </c>
      <c r="Q267" s="26">
        <f t="shared" si="5"/>
        <v>6.3152612623120339</v>
      </c>
      <c r="R267" s="26">
        <f ca="1">Posts[[#This Row],[Avg. During]]-Posts[[#This Row],[Avg. Before]]/Posts[[#This Row],[Avg. Before]]</f>
        <v>5.3152612623120339</v>
      </c>
      <c r="S267" s="26">
        <v>12.651047130590202</v>
      </c>
    </row>
    <row r="268" spans="1:19">
      <c r="A268" s="29" t="s">
        <v>306</v>
      </c>
      <c r="B268" s="29" t="s">
        <v>34</v>
      </c>
      <c r="C268" s="38">
        <v>45604</v>
      </c>
      <c r="D268" s="29" t="s">
        <v>16</v>
      </c>
      <c r="E268" s="29" t="s">
        <v>43</v>
      </c>
      <c r="F268" s="14">
        <v>2471</v>
      </c>
      <c r="G268" s="14">
        <v>166</v>
      </c>
      <c r="H268" s="14">
        <v>320</v>
      </c>
      <c r="I268" s="14">
        <v>48254</v>
      </c>
      <c r="J268" s="14">
        <v>46900</v>
      </c>
      <c r="K268" s="14">
        <v>111</v>
      </c>
      <c r="L268" s="29" t="s">
        <v>23</v>
      </c>
      <c r="M268" s="29" t="s">
        <v>36</v>
      </c>
      <c r="N268" s="29" t="s">
        <v>25</v>
      </c>
      <c r="O268" s="29" t="str">
        <f>IF(AND(C268&gt;='Task 1.2'!$B$2,C268&lt;='Task 1.2'!$C$2),"During","Before")</f>
        <v>Before</v>
      </c>
      <c r="P268" s="26">
        <f ca="1">AVERAGEIF(O268:O566,"Before",Posts[[#This Row],[engagement rate]])</f>
        <v>8.9742006278948008</v>
      </c>
      <c r="Q268" s="26">
        <f t="shared" si="5"/>
        <v>7.9378972769337608</v>
      </c>
      <c r="R268" s="26">
        <f ca="1">Posts[[#This Row],[Avg. During]]-Posts[[#This Row],[Avg. Before]]/Posts[[#This Row],[Avg. Before]]</f>
        <v>6.9378972769337608</v>
      </c>
      <c r="S268" s="26">
        <v>6.3580221328801754</v>
      </c>
    </row>
    <row r="269" spans="1:19">
      <c r="A269" s="29" t="s">
        <v>307</v>
      </c>
      <c r="B269" s="29" t="s">
        <v>34</v>
      </c>
      <c r="C269" s="38">
        <v>45368</v>
      </c>
      <c r="D269" s="29" t="s">
        <v>57</v>
      </c>
      <c r="E269" s="29" t="s">
        <v>22</v>
      </c>
      <c r="F269" s="14">
        <v>2692</v>
      </c>
      <c r="G269" s="14">
        <v>446</v>
      </c>
      <c r="H269" s="14">
        <v>216</v>
      </c>
      <c r="I269" s="14">
        <v>45818</v>
      </c>
      <c r="J269" s="14">
        <v>62723</v>
      </c>
      <c r="K269" s="14">
        <v>85</v>
      </c>
      <c r="L269" s="29" t="s">
        <v>23</v>
      </c>
      <c r="M269" s="29" t="s">
        <v>18</v>
      </c>
      <c r="N269" s="29" t="s">
        <v>58</v>
      </c>
      <c r="O269" s="29" t="str">
        <f>IF(AND(C269&gt;='Task 1.2'!$B$2,C269&lt;='Task 1.2'!$C$2),"During","Before")</f>
        <v>Before</v>
      </c>
      <c r="P269" s="26">
        <f ca="1">AVERAGEIF(O269:O567,"Before",Posts[[#This Row],[engagement rate]])</f>
        <v>9.0644136794470302</v>
      </c>
      <c r="Q269" s="26">
        <f t="shared" si="5"/>
        <v>10.509147857771303</v>
      </c>
      <c r="R269" s="26">
        <f ca="1">Posts[[#This Row],[Avg. During]]-Posts[[#This Row],[Avg. Before]]/Posts[[#This Row],[Avg. Before]]</f>
        <v>9.5091478577713033</v>
      </c>
      <c r="S269" s="26">
        <v>7.5057837531101317</v>
      </c>
    </row>
    <row r="270" spans="1:19">
      <c r="A270" s="29" t="s">
        <v>308</v>
      </c>
      <c r="B270" s="29" t="s">
        <v>34</v>
      </c>
      <c r="C270" s="38">
        <v>45464</v>
      </c>
      <c r="D270" s="29" t="s">
        <v>57</v>
      </c>
      <c r="E270" s="29" t="s">
        <v>35</v>
      </c>
      <c r="F270" s="14">
        <v>4621</v>
      </c>
      <c r="G270" s="14">
        <v>374</v>
      </c>
      <c r="H270" s="14">
        <v>298</v>
      </c>
      <c r="I270" s="14">
        <v>56979</v>
      </c>
      <c r="J270" s="14">
        <v>24098</v>
      </c>
      <c r="K270" s="14">
        <v>205</v>
      </c>
      <c r="L270" s="29" t="s">
        <v>23</v>
      </c>
      <c r="M270" s="29" t="s">
        <v>18</v>
      </c>
      <c r="N270" s="29" t="s">
        <v>58</v>
      </c>
      <c r="O270" s="29" t="str">
        <f>IF(AND(C270&gt;='Task 1.2'!$B$2,C270&lt;='Task 1.2'!$C$2),"During","Before")</f>
        <v>During</v>
      </c>
      <c r="P270" s="26">
        <f ca="1">AVERAGEIF(O270:O568,"Before",Posts[[#This Row],[engagement rate]])</f>
        <v>9.1200790339590618</v>
      </c>
      <c r="Q270" s="26">
        <f t="shared" si="5"/>
        <v>9.8643560324840678</v>
      </c>
      <c r="R270" s="26">
        <f ca="1">Posts[[#This Row],[Avg. During]]-Posts[[#This Row],[Avg. Before]]/Posts[[#This Row],[Avg. Before]]</f>
        <v>8.8643560324840678</v>
      </c>
      <c r="S270" s="26">
        <v>9.6491689920848032</v>
      </c>
    </row>
    <row r="271" spans="1:19">
      <c r="A271" s="29" t="s">
        <v>309</v>
      </c>
      <c r="B271" s="29" t="s">
        <v>27</v>
      </c>
      <c r="C271" s="38">
        <v>45609</v>
      </c>
      <c r="D271" s="29" t="s">
        <v>28</v>
      </c>
      <c r="E271" s="29" t="s">
        <v>29</v>
      </c>
      <c r="F271" s="14">
        <v>1409</v>
      </c>
      <c r="G271" s="14">
        <v>466</v>
      </c>
      <c r="H271" s="14">
        <v>105</v>
      </c>
      <c r="I271" s="14">
        <v>58923</v>
      </c>
      <c r="J271" s="14">
        <v>38753</v>
      </c>
      <c r="K271" s="14">
        <v>265</v>
      </c>
      <c r="L271" s="29" t="s">
        <v>23</v>
      </c>
      <c r="M271" s="29" t="s">
        <v>30</v>
      </c>
      <c r="N271" s="29" t="s">
        <v>20</v>
      </c>
      <c r="O271" s="29" t="str">
        <f>IF(AND(C271&gt;='Task 1.2'!$B$2,C271&lt;='Task 1.2'!$C$2),"During","Before")</f>
        <v>Before</v>
      </c>
      <c r="P271" s="26">
        <f ca="1">AVERAGEIF(O271:O569,"Before",Posts[[#This Row],[engagement rate]])</f>
        <v>9.1200790339590618</v>
      </c>
      <c r="Q271" s="26">
        <f t="shared" si="5"/>
        <v>10.802854637471722</v>
      </c>
      <c r="R271" s="26">
        <f ca="1">Posts[[#This Row],[Avg. During]]-Posts[[#This Row],[Avg. Before]]/Posts[[#This Row],[Avg. Before]]</f>
        <v>9.8028546374717216</v>
      </c>
      <c r="S271" s="26">
        <v>3.8100571932861529</v>
      </c>
    </row>
    <row r="272" spans="1:19">
      <c r="A272" s="29" t="s">
        <v>310</v>
      </c>
      <c r="B272" s="29" t="s">
        <v>27</v>
      </c>
      <c r="C272" s="38">
        <v>45693</v>
      </c>
      <c r="D272" s="29" t="s">
        <v>28</v>
      </c>
      <c r="E272" s="29" t="s">
        <v>17</v>
      </c>
      <c r="F272" s="14">
        <v>3029</v>
      </c>
      <c r="G272" s="14">
        <v>440</v>
      </c>
      <c r="H272" s="14">
        <v>66</v>
      </c>
      <c r="I272" s="14">
        <v>23815</v>
      </c>
      <c r="J272" s="14">
        <v>47895</v>
      </c>
      <c r="K272" s="14">
        <v>210</v>
      </c>
      <c r="L272" s="29" t="s">
        <v>23</v>
      </c>
      <c r="M272" s="29" t="s">
        <v>30</v>
      </c>
      <c r="N272" s="29" t="s">
        <v>20</v>
      </c>
      <c r="O272" s="29" t="str">
        <f>IF(AND(C272&gt;='Task 1.2'!$B$2,C272&lt;='Task 1.2'!$C$2),"During","Before")</f>
        <v>Before</v>
      </c>
      <c r="P272" s="26">
        <f ca="1">AVERAGEIF(O272:O570,"Before",Posts[[#This Row],[engagement rate]])</f>
        <v>9.3167465095395414</v>
      </c>
      <c r="Q272" s="26">
        <f t="shared" si="5"/>
        <v>13.573418363137545</v>
      </c>
      <c r="R272" s="26">
        <f ca="1">Posts[[#This Row],[Avg. During]]-Posts[[#This Row],[Avg. Before]]/Posts[[#This Row],[Avg. Before]]</f>
        <v>12.573418363137545</v>
      </c>
      <c r="S272" s="26">
        <v>15.725383161872768</v>
      </c>
    </row>
    <row r="273" spans="1:19">
      <c r="A273" s="29" t="s">
        <v>311</v>
      </c>
      <c r="B273" s="29" t="s">
        <v>27</v>
      </c>
      <c r="C273" s="38">
        <v>45603</v>
      </c>
      <c r="D273" s="29" t="s">
        <v>16</v>
      </c>
      <c r="E273" s="29" t="s">
        <v>22</v>
      </c>
      <c r="F273" s="14">
        <v>2229</v>
      </c>
      <c r="G273" s="14">
        <v>395</v>
      </c>
      <c r="H273" s="14">
        <v>328</v>
      </c>
      <c r="I273" s="14">
        <v>56921</v>
      </c>
      <c r="J273" s="14">
        <v>37176</v>
      </c>
      <c r="K273" s="14">
        <v>126</v>
      </c>
      <c r="L273" s="29" t="s">
        <v>18</v>
      </c>
      <c r="M273" s="29" t="s">
        <v>24</v>
      </c>
      <c r="N273" s="29" t="s">
        <v>25</v>
      </c>
      <c r="O273" s="29" t="str">
        <f>IF(AND(C273&gt;='Task 1.2'!$B$2,C273&lt;='Task 1.2'!$C$2),"During","Before")</f>
        <v>Before</v>
      </c>
      <c r="P273" s="26">
        <f ca="1">AVERAGEIF(O273:O571,"Before",Posts[[#This Row],[engagement rate]])</f>
        <v>9.0702604844498005</v>
      </c>
      <c r="Q273" s="26">
        <f t="shared" si="5"/>
        <v>11.245725313544291</v>
      </c>
      <c r="R273" s="26">
        <f ca="1">Posts[[#This Row],[Avg. During]]-Posts[[#This Row],[Avg. Before]]/Posts[[#This Row],[Avg. Before]]</f>
        <v>10.245725313544291</v>
      </c>
      <c r="S273" s="26">
        <v>5.4074945977758651</v>
      </c>
    </row>
    <row r="274" spans="1:19">
      <c r="A274" s="29" t="s">
        <v>312</v>
      </c>
      <c r="B274" s="29" t="s">
        <v>27</v>
      </c>
      <c r="C274" s="38">
        <v>45334</v>
      </c>
      <c r="D274" s="29" t="s">
        <v>16</v>
      </c>
      <c r="E274" s="29" t="s">
        <v>22</v>
      </c>
      <c r="F274" s="14">
        <v>2691</v>
      </c>
      <c r="G274" s="14">
        <v>486</v>
      </c>
      <c r="H274" s="14">
        <v>206</v>
      </c>
      <c r="I274" s="14">
        <v>51133</v>
      </c>
      <c r="J274" s="14">
        <v>44583</v>
      </c>
      <c r="K274" s="14">
        <v>276</v>
      </c>
      <c r="L274" s="29" t="s">
        <v>19</v>
      </c>
      <c r="M274" s="29" t="s">
        <v>24</v>
      </c>
      <c r="N274" s="29" t="s">
        <v>20</v>
      </c>
      <c r="O274" s="29" t="str">
        <f>IF(AND(C274&gt;='Task 1.2'!$B$2,C274&lt;='Task 1.2'!$C$2),"During","Before")</f>
        <v>Before</v>
      </c>
      <c r="P274" s="26">
        <f ca="1">AVERAGEIF(O274:O572,"Before",Posts[[#This Row],[engagement rate]])</f>
        <v>9.2167711199167588</v>
      </c>
      <c r="Q274" s="26">
        <f t="shared" si="5"/>
        <v>9.7924202562824085</v>
      </c>
      <c r="R274" s="26">
        <f ca="1">Posts[[#This Row],[Avg. During]]-Posts[[#This Row],[Avg. Before]]/Posts[[#This Row],[Avg. Before]]</f>
        <v>8.7924202562824085</v>
      </c>
      <c r="S274" s="26">
        <v>7.1558484735884846</v>
      </c>
    </row>
    <row r="275" spans="1:19">
      <c r="A275" s="29" t="s">
        <v>313</v>
      </c>
      <c r="B275" s="29" t="s">
        <v>15</v>
      </c>
      <c r="C275" s="38">
        <v>45573</v>
      </c>
      <c r="D275" s="29" t="s">
        <v>16</v>
      </c>
      <c r="E275" s="29" t="s">
        <v>22</v>
      </c>
      <c r="F275" s="14">
        <v>2110</v>
      </c>
      <c r="G275" s="14">
        <v>384</v>
      </c>
      <c r="H275" s="14">
        <v>236</v>
      </c>
      <c r="I275" s="14">
        <v>49965</v>
      </c>
      <c r="J275" s="14">
        <v>61555</v>
      </c>
      <c r="K275" s="14">
        <v>195</v>
      </c>
      <c r="L275" s="29" t="s">
        <v>23</v>
      </c>
      <c r="M275" s="29" t="s">
        <v>24</v>
      </c>
      <c r="N275" s="29" t="s">
        <v>25</v>
      </c>
      <c r="O275" s="29" t="str">
        <f>IF(AND(C275&gt;='Task 1.2'!$B$2,C275&lt;='Task 1.2'!$C$2),"During","Before")</f>
        <v>Before</v>
      </c>
      <c r="P275" s="26">
        <f ca="1">AVERAGEIF(O275:O573,"Before",Posts[[#This Row],[engagement rate]])</f>
        <v>9.3026428968471038</v>
      </c>
      <c r="Q275" s="26">
        <f t="shared" si="5"/>
        <v>9.076817183178532</v>
      </c>
      <c r="R275" s="26">
        <f ca="1">Posts[[#This Row],[Avg. During]]-Posts[[#This Row],[Avg. Before]]/Posts[[#This Row],[Avg. Before]]</f>
        <v>8.076817183178532</v>
      </c>
      <c r="S275" s="26">
        <v>5.8540978685079557</v>
      </c>
    </row>
    <row r="276" spans="1:19">
      <c r="A276" s="29" t="s">
        <v>314</v>
      </c>
      <c r="B276" s="29" t="s">
        <v>15</v>
      </c>
      <c r="C276" s="38">
        <v>45341</v>
      </c>
      <c r="D276" s="29" t="s">
        <v>16</v>
      </c>
      <c r="E276" s="29" t="s">
        <v>32</v>
      </c>
      <c r="F276" s="14">
        <v>4752</v>
      </c>
      <c r="G276" s="14">
        <v>449</v>
      </c>
      <c r="H276" s="14">
        <v>309</v>
      </c>
      <c r="I276" s="14">
        <v>58530</v>
      </c>
      <c r="J276" s="14">
        <v>26630</v>
      </c>
      <c r="K276" s="14">
        <v>234</v>
      </c>
      <c r="L276" s="29" t="s">
        <v>23</v>
      </c>
      <c r="M276" s="29" t="s">
        <v>24</v>
      </c>
      <c r="N276" s="29" t="s">
        <v>25</v>
      </c>
      <c r="O276" s="29" t="str">
        <f>IF(AND(C276&gt;='Task 1.2'!$B$2,C276&lt;='Task 1.2'!$C$2),"During","Before")</f>
        <v>Before</v>
      </c>
      <c r="P276" s="26">
        <f ca="1">AVERAGEIF(O276:O574,"Before",Posts[[#This Row],[engagement rate]])</f>
        <v>9.4525796372096735</v>
      </c>
      <c r="Q276" s="26">
        <f t="shared" si="5"/>
        <v>4.1144972000850561</v>
      </c>
      <c r="R276" s="26">
        <f ca="1">Posts[[#This Row],[Avg. During]]-Posts[[#This Row],[Avg. Before]]/Posts[[#This Row],[Avg. Before]]</f>
        <v>3.1144972000850561</v>
      </c>
      <c r="S276" s="26">
        <v>9.8137707158722023</v>
      </c>
    </row>
    <row r="277" spans="1:19">
      <c r="A277" s="29" t="s">
        <v>315</v>
      </c>
      <c r="B277" s="29" t="s">
        <v>27</v>
      </c>
      <c r="C277" s="38">
        <v>45720</v>
      </c>
      <c r="D277" s="29" t="s">
        <v>16</v>
      </c>
      <c r="E277" s="29" t="s">
        <v>17</v>
      </c>
      <c r="F277" s="14">
        <v>2177</v>
      </c>
      <c r="G277" s="14">
        <v>258</v>
      </c>
      <c r="H277" s="14">
        <v>292</v>
      </c>
      <c r="I277" s="14">
        <v>47276</v>
      </c>
      <c r="J277" s="14">
        <v>51324</v>
      </c>
      <c r="K277" s="14">
        <v>143</v>
      </c>
      <c r="L277" s="29" t="s">
        <v>19</v>
      </c>
      <c r="M277" s="29" t="s">
        <v>24</v>
      </c>
      <c r="N277" s="29" t="s">
        <v>20</v>
      </c>
      <c r="O277" s="29" t="str">
        <f>IF(AND(C277&gt;='Task 1.2'!$B$2,C277&lt;='Task 1.2'!$C$2),"During","Before")</f>
        <v>Before</v>
      </c>
      <c r="P277" s="26">
        <f ca="1">AVERAGEIF(O277:O575,"Before",Posts[[#This Row],[engagement rate]])</f>
        <v>9.4361618609068323</v>
      </c>
      <c r="Q277" s="26">
        <f t="shared" si="5"/>
        <v>7.6044892489147191</v>
      </c>
      <c r="R277" s="26">
        <f ca="1">Posts[[#This Row],[Avg. During]]-Posts[[#This Row],[Avg. Before]]/Posts[[#This Row],[Avg. Before]]</f>
        <v>6.6044892489147191</v>
      </c>
      <c r="S277" s="26">
        <v>6.0707335645993741</v>
      </c>
    </row>
    <row r="278" spans="1:19">
      <c r="A278" s="29" t="s">
        <v>316</v>
      </c>
      <c r="B278" s="29" t="s">
        <v>15</v>
      </c>
      <c r="C278" s="38">
        <v>45691</v>
      </c>
      <c r="D278" s="29" t="s">
        <v>28</v>
      </c>
      <c r="E278" s="29" t="s">
        <v>29</v>
      </c>
      <c r="F278" s="14">
        <v>1205</v>
      </c>
      <c r="G278" s="14">
        <v>486</v>
      </c>
      <c r="H278" s="14">
        <v>269</v>
      </c>
      <c r="I278" s="14">
        <v>23341</v>
      </c>
      <c r="J278" s="14">
        <v>42411</v>
      </c>
      <c r="K278" s="14">
        <v>184</v>
      </c>
      <c r="L278" s="29" t="s">
        <v>19</v>
      </c>
      <c r="M278" s="29" t="s">
        <v>24</v>
      </c>
      <c r="N278" s="29" t="s">
        <v>55</v>
      </c>
      <c r="O278" s="29" t="str">
        <f>IF(AND(C278&gt;='Task 1.2'!$B$2,C278&lt;='Task 1.2'!$C$2),"During","Before")</f>
        <v>Before</v>
      </c>
      <c r="P278" s="26">
        <f ca="1">AVERAGEIF(O278:O576,"Before",Posts[[#This Row],[engagement rate]])</f>
        <v>9.5964203512071862</v>
      </c>
      <c r="Q278" s="26">
        <f t="shared" si="5"/>
        <v>12.098044151357186</v>
      </c>
      <c r="R278" s="26">
        <f ca="1">Posts[[#This Row],[Avg. During]]-Posts[[#This Row],[Avg. Before]]/Posts[[#This Row],[Avg. Before]]</f>
        <v>11.098044151357186</v>
      </c>
      <c r="S278" s="26">
        <v>9.1855533181954492</v>
      </c>
    </row>
    <row r="279" spans="1:19">
      <c r="A279" s="29" t="s">
        <v>317</v>
      </c>
      <c r="B279" s="29" t="s">
        <v>15</v>
      </c>
      <c r="C279" s="38">
        <v>45628</v>
      </c>
      <c r="D279" s="29" t="s">
        <v>16</v>
      </c>
      <c r="E279" s="29" t="s">
        <v>43</v>
      </c>
      <c r="F279" s="14">
        <v>3194</v>
      </c>
      <c r="G279" s="14">
        <v>292</v>
      </c>
      <c r="H279" s="14">
        <v>245</v>
      </c>
      <c r="I279" s="14">
        <v>56371</v>
      </c>
      <c r="J279" s="14">
        <v>65597</v>
      </c>
      <c r="K279" s="14">
        <v>163</v>
      </c>
      <c r="L279" s="29" t="s">
        <v>18</v>
      </c>
      <c r="M279" s="29" t="s">
        <v>19</v>
      </c>
      <c r="N279" s="29" t="s">
        <v>20</v>
      </c>
      <c r="O279" s="29" t="str">
        <f>IF(AND(C279&gt;='Task 1.2'!$B$2,C279&lt;='Task 1.2'!$C$2),"During","Before")</f>
        <v>Before</v>
      </c>
      <c r="P279" s="26">
        <f ca="1">AVERAGEIF(O279:O577,"Before",Posts[[#This Row],[engagement rate]])</f>
        <v>9.6169637028577739</v>
      </c>
      <c r="Q279" s="26">
        <f t="shared" si="5"/>
        <v>9.3730960530361287</v>
      </c>
      <c r="R279" s="26">
        <f ca="1">Posts[[#This Row],[Avg. During]]-Posts[[#This Row],[Avg. Before]]/Posts[[#This Row],[Avg. Before]]</f>
        <v>8.3730960530361287</v>
      </c>
      <c r="S279" s="26">
        <v>6.9078072058327864</v>
      </c>
    </row>
    <row r="280" spans="1:19">
      <c r="A280" s="29" t="s">
        <v>318</v>
      </c>
      <c r="B280" s="29" t="s">
        <v>27</v>
      </c>
      <c r="C280" s="38">
        <v>45676</v>
      </c>
      <c r="D280" s="29" t="s">
        <v>28</v>
      </c>
      <c r="E280" s="29" t="s">
        <v>29</v>
      </c>
      <c r="F280" s="14">
        <v>3507</v>
      </c>
      <c r="G280" s="14">
        <v>295</v>
      </c>
      <c r="H280" s="14">
        <v>371</v>
      </c>
      <c r="I280" s="14">
        <v>20410</v>
      </c>
      <c r="J280" s="14">
        <v>53965</v>
      </c>
      <c r="K280" s="14">
        <v>212</v>
      </c>
      <c r="L280" s="29" t="s">
        <v>18</v>
      </c>
      <c r="M280" s="29" t="s">
        <v>19</v>
      </c>
      <c r="N280" s="29" t="s">
        <v>20</v>
      </c>
      <c r="O280" s="29" t="str">
        <f>IF(AND(C280&gt;='Task 1.2'!$B$2,C280&lt;='Task 1.2'!$C$2),"During","Before")</f>
        <v>Before</v>
      </c>
      <c r="P280" s="26">
        <f ca="1">AVERAGEIF(O280:O578,"Before",Posts[[#This Row],[engagement rate]])</f>
        <v>9.75955088691172</v>
      </c>
      <c r="Q280" s="26">
        <f t="shared" si="5"/>
        <v>6.2908881969113803</v>
      </c>
      <c r="R280" s="26">
        <f ca="1">Posts[[#This Row],[Avg. During]]-Posts[[#This Row],[Avg. Before]]/Posts[[#This Row],[Avg. Before]]</f>
        <v>5.2908881969113803</v>
      </c>
      <c r="S280" s="26">
        <v>21.484566389024987</v>
      </c>
    </row>
    <row r="281" spans="1:19">
      <c r="A281" s="29" t="s">
        <v>319</v>
      </c>
      <c r="B281" s="29" t="s">
        <v>27</v>
      </c>
      <c r="C281" s="38">
        <v>45563</v>
      </c>
      <c r="D281" s="29" t="s">
        <v>28</v>
      </c>
      <c r="E281" s="29" t="s">
        <v>32</v>
      </c>
      <c r="F281" s="14">
        <v>4471</v>
      </c>
      <c r="G281" s="14">
        <v>317</v>
      </c>
      <c r="H281" s="14">
        <v>249</v>
      </c>
      <c r="I281" s="14">
        <v>44862</v>
      </c>
      <c r="J281" s="14">
        <v>33365</v>
      </c>
      <c r="K281" s="14">
        <v>184</v>
      </c>
      <c r="L281" s="29" t="s">
        <v>23</v>
      </c>
      <c r="M281" s="29" t="s">
        <v>30</v>
      </c>
      <c r="N281" s="29" t="s">
        <v>20</v>
      </c>
      <c r="O281" s="29" t="str">
        <f>IF(AND(C281&gt;='Task 1.2'!$B$2,C281&lt;='Task 1.2'!$C$2),"During","Before")</f>
        <v>Before</v>
      </c>
      <c r="P281" s="26">
        <f ca="1">AVERAGEIF(O281:O579,"Before",Posts[[#This Row],[engagement rate]])</f>
        <v>9.1081611367943172</v>
      </c>
      <c r="Q281" s="26">
        <f t="shared" si="5"/>
        <v>6.1698073704525385</v>
      </c>
      <c r="R281" s="26">
        <f ca="1">Posts[[#This Row],[Avg. During]]-Posts[[#This Row],[Avg. Before]]/Posts[[#This Row],[Avg. Before]]</f>
        <v>5.1698073704525385</v>
      </c>
      <c r="S281" s="26">
        <v>11.637911818465517</v>
      </c>
    </row>
    <row r="282" spans="1:19">
      <c r="A282" s="29" t="s">
        <v>320</v>
      </c>
      <c r="B282" s="29" t="s">
        <v>15</v>
      </c>
      <c r="C282" s="38">
        <v>45298</v>
      </c>
      <c r="D282" s="29" t="s">
        <v>16</v>
      </c>
      <c r="E282" s="29" t="s">
        <v>43</v>
      </c>
      <c r="F282" s="14">
        <v>4931</v>
      </c>
      <c r="G282" s="14">
        <v>469</v>
      </c>
      <c r="H282" s="14">
        <v>193</v>
      </c>
      <c r="I282" s="14">
        <v>56701</v>
      </c>
      <c r="J282" s="14">
        <v>69437</v>
      </c>
      <c r="K282" s="14">
        <v>291</v>
      </c>
      <c r="L282" s="29" t="s">
        <v>18</v>
      </c>
      <c r="M282" s="29" t="s">
        <v>19</v>
      </c>
      <c r="N282" s="29" t="s">
        <v>20</v>
      </c>
      <c r="O282" s="29" t="str">
        <f>IF(AND(C282&gt;='Task 1.2'!$B$2,C282&lt;='Task 1.2'!$C$2),"During","Before")</f>
        <v>Before</v>
      </c>
      <c r="P282" s="26">
        <f ca="1">AVERAGEIF(O282:O580,"Before",Posts[[#This Row],[engagement rate]])</f>
        <v>8.9593522731666013</v>
      </c>
      <c r="Q282" s="26">
        <f t="shared" si="5"/>
        <v>6.0444134673094423</v>
      </c>
      <c r="R282" s="26">
        <f ca="1">Posts[[#This Row],[Avg. During]]-Posts[[#This Row],[Avg. Before]]/Posts[[#This Row],[Avg. Before]]</f>
        <v>5.0444134673094423</v>
      </c>
      <c r="S282" s="26">
        <v>10.377242023950195</v>
      </c>
    </row>
    <row r="283" spans="1:19">
      <c r="A283" s="29" t="s">
        <v>321</v>
      </c>
      <c r="B283" s="29" t="s">
        <v>27</v>
      </c>
      <c r="C283" s="38">
        <v>45343</v>
      </c>
      <c r="D283" s="29" t="s">
        <v>28</v>
      </c>
      <c r="E283" s="29" t="s">
        <v>40</v>
      </c>
      <c r="F283" s="14">
        <v>2604</v>
      </c>
      <c r="G283" s="14">
        <v>439</v>
      </c>
      <c r="H283" s="14">
        <v>148</v>
      </c>
      <c r="I283" s="14">
        <v>58468</v>
      </c>
      <c r="J283" s="14">
        <v>39629</v>
      </c>
      <c r="K283" s="14">
        <v>163</v>
      </c>
      <c r="L283" s="29" t="s">
        <v>30</v>
      </c>
      <c r="M283" s="29" t="s">
        <v>19</v>
      </c>
      <c r="N283" s="29" t="s">
        <v>20</v>
      </c>
      <c r="O283" s="29" t="str">
        <f>IF(AND(C283&gt;='Task 1.2'!$B$2,C283&lt;='Task 1.2'!$C$2),"During","Before")</f>
        <v>Before</v>
      </c>
      <c r="P283" s="26">
        <f ca="1">AVERAGEIF(O283:O581,"Before",Posts[[#This Row],[engagement rate]])</f>
        <v>8.8707341637426271</v>
      </c>
      <c r="Q283" s="26">
        <v>13.29240581463432</v>
      </c>
      <c r="R283" s="26">
        <f ca="1">Posts[[#This Row],[Avg. During]]-Posts[[#This Row],[Avg. Before]]/Posts[[#This Row],[Avg. Before]]</f>
        <v>12.29240581463432</v>
      </c>
      <c r="S283" s="26">
        <v>5.7364712321269753</v>
      </c>
    </row>
    <row r="284" spans="1:19">
      <c r="A284" s="29" t="s">
        <v>322</v>
      </c>
      <c r="B284" s="29" t="s">
        <v>15</v>
      </c>
      <c r="C284" s="38">
        <v>45531</v>
      </c>
      <c r="D284" s="29" t="s">
        <v>16</v>
      </c>
      <c r="E284" s="29" t="s">
        <v>35</v>
      </c>
      <c r="F284" s="14">
        <v>4197</v>
      </c>
      <c r="G284" s="14">
        <v>359</v>
      </c>
      <c r="H284" s="14">
        <v>280</v>
      </c>
      <c r="I284" s="14">
        <v>56048</v>
      </c>
      <c r="J284" s="14">
        <v>70930</v>
      </c>
      <c r="K284" s="14">
        <v>295</v>
      </c>
      <c r="L284" s="29" t="s">
        <v>23</v>
      </c>
      <c r="M284" s="29" t="s">
        <v>24</v>
      </c>
      <c r="N284" s="29" t="s">
        <v>25</v>
      </c>
      <c r="O284" s="29" t="str">
        <f>IF(AND(C284&gt;='Task 1.2'!$B$2,C284&lt;='Task 1.2'!$C$2),"During","Before")</f>
        <v>Before</v>
      </c>
      <c r="P284" s="26">
        <f ca="1">AVERAGEIF(O284:O582,"Before",Posts[[#This Row],[engagement rate]])</f>
        <v>9.0796850258503365</v>
      </c>
      <c r="Q284" s="26">
        <v>11.559939353156583</v>
      </c>
      <c r="R284" s="26">
        <f ca="1">Posts[[#This Row],[Avg. During]]-Posts[[#This Row],[Avg. Before]]/Posts[[#This Row],[Avg. Before]]</f>
        <v>10.559939353156583</v>
      </c>
      <c r="S284" s="26">
        <v>9.1546531544390515</v>
      </c>
    </row>
    <row r="285" spans="1:19">
      <c r="A285" s="29" t="s">
        <v>323</v>
      </c>
      <c r="B285" s="29" t="s">
        <v>15</v>
      </c>
      <c r="C285" s="38">
        <v>45589</v>
      </c>
      <c r="D285" s="29" t="s">
        <v>28</v>
      </c>
      <c r="E285" s="29" t="s">
        <v>43</v>
      </c>
      <c r="F285" s="14">
        <v>1914</v>
      </c>
      <c r="G285" s="14">
        <v>255</v>
      </c>
      <c r="H285" s="14">
        <v>156</v>
      </c>
      <c r="I285" s="14">
        <v>27660</v>
      </c>
      <c r="J285" s="14">
        <v>47776</v>
      </c>
      <c r="K285" s="14">
        <v>111</v>
      </c>
      <c r="L285" s="29" t="s">
        <v>19</v>
      </c>
      <c r="M285" s="29" t="s">
        <v>24</v>
      </c>
      <c r="N285" s="29" t="s">
        <v>55</v>
      </c>
      <c r="O285" s="29" t="str">
        <f>IF(AND(C285&gt;='Task 1.2'!$B$2,C285&lt;='Task 1.2'!$C$2),"During","Before")</f>
        <v>Before</v>
      </c>
      <c r="P285" s="26">
        <f ca="1">AVERAGEIF(O285:O583,"Before",Posts[[#This Row],[engagement rate]])</f>
        <v>9.0743301595225709</v>
      </c>
      <c r="Q285" s="26">
        <v>10.208360300191504</v>
      </c>
      <c r="R285" s="26">
        <f ca="1">Posts[[#This Row],[Avg. During]]-Posts[[#This Row],[Avg. Before]]/Posts[[#This Row],[Avg. Before]]</f>
        <v>9.2083603001915044</v>
      </c>
      <c r="S285" s="26">
        <v>8.8069414316702819</v>
      </c>
    </row>
    <row r="286" spans="1:19">
      <c r="A286" s="29" t="s">
        <v>324</v>
      </c>
      <c r="B286" s="29" t="s">
        <v>34</v>
      </c>
      <c r="C286" s="38">
        <v>45686</v>
      </c>
      <c r="D286" s="29" t="s">
        <v>16</v>
      </c>
      <c r="E286" s="29" t="s">
        <v>29</v>
      </c>
      <c r="F286" s="14">
        <v>1334</v>
      </c>
      <c r="G286" s="14">
        <v>357</v>
      </c>
      <c r="H286" s="14">
        <v>257</v>
      </c>
      <c r="I286" s="14">
        <v>56910</v>
      </c>
      <c r="J286" s="14">
        <v>70606</v>
      </c>
      <c r="K286" s="14">
        <v>228</v>
      </c>
      <c r="L286" s="29" t="s">
        <v>23</v>
      </c>
      <c r="M286" s="29" t="s">
        <v>36</v>
      </c>
      <c r="N286" s="29" t="s">
        <v>25</v>
      </c>
      <c r="O286" s="29" t="str">
        <f>IF(AND(C286&gt;='Task 1.2'!$B$2,C286&lt;='Task 1.2'!$C$2),"During","Before")</f>
        <v>Before</v>
      </c>
      <c r="P286" s="26">
        <f ca="1">AVERAGEIF(O286:O584,"Before",Posts[[#This Row],[engagement rate]])</f>
        <v>9.0948985232035167</v>
      </c>
      <c r="Q286" s="26">
        <v>13.588589145539217</v>
      </c>
      <c r="R286" s="26">
        <f ca="1">Posts[[#This Row],[Avg. During]]-Posts[[#This Row],[Avg. Before]]/Posts[[#This Row],[Avg. Before]]</f>
        <v>12.588589145539217</v>
      </c>
      <c r="S286" s="26">
        <v>3.8235810929537863</v>
      </c>
    </row>
    <row r="287" spans="1:19">
      <c r="A287" s="29" t="s">
        <v>325</v>
      </c>
      <c r="B287" s="29" t="s">
        <v>15</v>
      </c>
      <c r="C287" s="38">
        <v>45413</v>
      </c>
      <c r="D287" s="29" t="s">
        <v>16</v>
      </c>
      <c r="E287" s="29" t="s">
        <v>40</v>
      </c>
      <c r="F287" s="14">
        <v>3359</v>
      </c>
      <c r="G287" s="14">
        <v>137</v>
      </c>
      <c r="H287" s="14">
        <v>387</v>
      </c>
      <c r="I287" s="14">
        <v>33861</v>
      </c>
      <c r="J287" s="14">
        <v>47257</v>
      </c>
      <c r="K287" s="14">
        <v>198</v>
      </c>
      <c r="L287" s="29" t="s">
        <v>23</v>
      </c>
      <c r="M287" s="29" t="s">
        <v>24</v>
      </c>
      <c r="N287" s="29" t="s">
        <v>25</v>
      </c>
      <c r="O287" s="29" t="str">
        <f>IF(AND(C287&gt;='Task 1.2'!$B$2,C287&lt;='Task 1.2'!$C$2),"During","Before")</f>
        <v>Before</v>
      </c>
      <c r="P287" s="26">
        <f ca="1">AVERAGEIF(O287:O585,"Before",Posts[[#This Row],[engagement rate]])</f>
        <v>9.5341749757243281</v>
      </c>
      <c r="Q287" s="26">
        <v>11.973046787579495</v>
      </c>
      <c r="R287" s="26">
        <f ca="1">Posts[[#This Row],[Avg. During]]-Posts[[#This Row],[Avg. Before]]/Posts[[#This Row],[Avg. Before]]</f>
        <v>10.973046787579495</v>
      </c>
      <c r="S287" s="26">
        <v>12.052213460913736</v>
      </c>
    </row>
    <row r="288" spans="1:19">
      <c r="A288" s="29" t="s">
        <v>326</v>
      </c>
      <c r="B288" s="29" t="s">
        <v>34</v>
      </c>
      <c r="C288" s="38">
        <v>45468</v>
      </c>
      <c r="D288" s="29" t="s">
        <v>16</v>
      </c>
      <c r="E288" s="29" t="s">
        <v>51</v>
      </c>
      <c r="F288" s="14">
        <v>2172</v>
      </c>
      <c r="G288" s="14">
        <v>338</v>
      </c>
      <c r="H288" s="14">
        <v>70</v>
      </c>
      <c r="I288" s="14">
        <v>30515</v>
      </c>
      <c r="J288" s="14">
        <v>57853</v>
      </c>
      <c r="K288" s="14">
        <v>156</v>
      </c>
      <c r="L288" s="29" t="s">
        <v>23</v>
      </c>
      <c r="M288" s="29" t="s">
        <v>36</v>
      </c>
      <c r="N288" s="29" t="s">
        <v>25</v>
      </c>
      <c r="O288" s="29" t="str">
        <f>IF(AND(C288&gt;='Task 1.2'!$B$2,C288&lt;='Task 1.2'!$C$2),"During","Before")</f>
        <v>During</v>
      </c>
      <c r="P288" s="26">
        <f ca="1">AVERAGEIF(O288:O586,"Before",Posts[[#This Row],[engagement rate]])</f>
        <v>9.3052623861616546</v>
      </c>
      <c r="Q288" s="26">
        <v>8.1771085894812927</v>
      </c>
      <c r="R288" s="26">
        <f ca="1">Posts[[#This Row],[Avg. During]]-Posts[[#This Row],[Avg. Before]]/Posts[[#This Row],[Avg. Before]]</f>
        <v>7.1771085894812927</v>
      </c>
      <c r="S288" s="26">
        <v>8.966082254628871</v>
      </c>
    </row>
    <row r="289" spans="1:19">
      <c r="A289" s="29" t="s">
        <v>327</v>
      </c>
      <c r="B289" s="29" t="s">
        <v>27</v>
      </c>
      <c r="C289" s="38">
        <v>45513</v>
      </c>
      <c r="D289" s="29" t="s">
        <v>28</v>
      </c>
      <c r="E289" s="29" t="s">
        <v>49</v>
      </c>
      <c r="F289" s="14">
        <v>4877</v>
      </c>
      <c r="G289" s="14">
        <v>442</v>
      </c>
      <c r="H289" s="14">
        <v>236</v>
      </c>
      <c r="I289" s="14">
        <v>52673</v>
      </c>
      <c r="J289" s="14">
        <v>48241</v>
      </c>
      <c r="K289" s="14">
        <v>114</v>
      </c>
      <c r="L289" s="29" t="s">
        <v>23</v>
      </c>
      <c r="M289" s="29" t="s">
        <v>30</v>
      </c>
      <c r="N289" s="29" t="s">
        <v>20</v>
      </c>
      <c r="O289" s="29" t="str">
        <f>IF(AND(C289&gt;='Task 1.2'!$B$2,C289&lt;='Task 1.2'!$C$2),"During","Before")</f>
        <v>Before</v>
      </c>
      <c r="P289" s="26">
        <f ca="1">AVERAGEIF(O289:O587,"Before",Posts[[#This Row],[engagement rate]])</f>
        <v>9.3052623861616546</v>
      </c>
      <c r="Q289" s="26">
        <v>9.2760117219107165</v>
      </c>
      <c r="R289" s="26">
        <f ca="1">Posts[[#This Row],[Avg. During]]-Posts[[#This Row],[Avg. Before]]/Posts[[#This Row],[Avg. Before]]</f>
        <v>8.2760117219107165</v>
      </c>
      <c r="S289" s="26">
        <v>10.762629810339263</v>
      </c>
    </row>
    <row r="290" spans="1:19">
      <c r="A290" s="29" t="s">
        <v>328</v>
      </c>
      <c r="B290" s="29" t="s">
        <v>15</v>
      </c>
      <c r="C290" s="38">
        <v>45678</v>
      </c>
      <c r="D290" s="29" t="s">
        <v>28</v>
      </c>
      <c r="E290" s="29" t="s">
        <v>29</v>
      </c>
      <c r="F290" s="14">
        <v>4918</v>
      </c>
      <c r="G290" s="14">
        <v>440</v>
      </c>
      <c r="H290" s="14">
        <v>149</v>
      </c>
      <c r="I290" s="14">
        <v>53269</v>
      </c>
      <c r="J290" s="14">
        <v>64370</v>
      </c>
      <c r="K290" s="14">
        <v>269</v>
      </c>
      <c r="L290" s="29" t="s">
        <v>19</v>
      </c>
      <c r="M290" s="29" t="s">
        <v>24</v>
      </c>
      <c r="N290" s="29" t="s">
        <v>55</v>
      </c>
      <c r="O290" s="29" t="str">
        <f>IF(AND(C290&gt;='Task 1.2'!$B$2,C290&lt;='Task 1.2'!$C$2),"During","Before")</f>
        <v>Before</v>
      </c>
      <c r="P290" s="26">
        <f ca="1">AVERAGEIF(O290:O588,"Before",Posts[[#This Row],[engagement rate]])</f>
        <v>9.1595256437438923</v>
      </c>
      <c r="Q290" s="26">
        <v>9.0014452430042411</v>
      </c>
      <c r="R290" s="26">
        <f ca="1">Posts[[#This Row],[Avg. During]]-Posts[[#This Row],[Avg. Before]]/Posts[[#This Row],[Avg. Before]]</f>
        <v>8.0014452430042411</v>
      </c>
      <c r="S290" s="26">
        <v>10.843079464604179</v>
      </c>
    </row>
    <row r="291" spans="1:19">
      <c r="A291" s="29" t="s">
        <v>329</v>
      </c>
      <c r="B291" s="29" t="s">
        <v>27</v>
      </c>
      <c r="C291" s="38">
        <v>45517</v>
      </c>
      <c r="D291" s="29" t="s">
        <v>16</v>
      </c>
      <c r="E291" s="29" t="s">
        <v>22</v>
      </c>
      <c r="F291" s="14">
        <v>3418</v>
      </c>
      <c r="G291" s="14">
        <v>107</v>
      </c>
      <c r="H291" s="14">
        <v>221</v>
      </c>
      <c r="I291" s="14">
        <v>23927</v>
      </c>
      <c r="J291" s="14">
        <v>26182</v>
      </c>
      <c r="K291" s="14">
        <v>155</v>
      </c>
      <c r="L291" s="29" t="s">
        <v>18</v>
      </c>
      <c r="M291" s="29" t="s">
        <v>24</v>
      </c>
      <c r="N291" s="29" t="s">
        <v>25</v>
      </c>
      <c r="O291" s="29" t="str">
        <f>IF(AND(C291&gt;='Task 1.2'!$B$2,C291&lt;='Task 1.2'!$C$2),"During","Before")</f>
        <v>Before</v>
      </c>
      <c r="P291" s="26">
        <f ca="1">AVERAGEIF(O291:O589,"Before",Posts[[#This Row],[engagement rate]])</f>
        <v>8.9724641080927512</v>
      </c>
      <c r="Q291" s="26">
        <v>12.329657364590176</v>
      </c>
      <c r="R291" s="26">
        <f ca="1">Posts[[#This Row],[Avg. During]]-Posts[[#This Row],[Avg. Before]]/Posts[[#This Row],[Avg. Before]]</f>
        <v>11.329657364590176</v>
      </c>
      <c r="S291" s="26">
        <v>16.303757261670913</v>
      </c>
    </row>
    <row r="292" spans="1:19">
      <c r="A292" s="29" t="s">
        <v>330</v>
      </c>
      <c r="B292" s="29" t="s">
        <v>15</v>
      </c>
      <c r="C292" s="38">
        <v>45472</v>
      </c>
      <c r="D292" s="29" t="s">
        <v>16</v>
      </c>
      <c r="E292" s="29" t="s">
        <v>51</v>
      </c>
      <c r="F292" s="14">
        <v>2088</v>
      </c>
      <c r="G292" s="14">
        <v>490</v>
      </c>
      <c r="H292" s="14">
        <v>124</v>
      </c>
      <c r="I292" s="14">
        <v>46544</v>
      </c>
      <c r="J292" s="14">
        <v>69346</v>
      </c>
      <c r="K292" s="14">
        <v>178</v>
      </c>
      <c r="L292" s="29" t="s">
        <v>18</v>
      </c>
      <c r="M292" s="29" t="s">
        <v>19</v>
      </c>
      <c r="N292" s="29" t="s">
        <v>20</v>
      </c>
      <c r="O292" s="29" t="str">
        <f>IF(AND(C292&gt;='Task 1.2'!$B$2,C292&lt;='Task 1.2'!$C$2),"During","Before")</f>
        <v>During</v>
      </c>
      <c r="P292" s="26">
        <f ca="1">AVERAGEIF(O292:O590,"Before",Posts[[#This Row],[engagement rate]])</f>
        <v>8.0560524638954796</v>
      </c>
      <c r="Q292" s="26">
        <v>10.019513076802799</v>
      </c>
      <c r="R292" s="26">
        <f ca="1">Posts[[#This Row],[Avg. During]]-Posts[[#This Row],[Avg. Before]]/Posts[[#This Row],[Avg. Before]]</f>
        <v>9.0195130768027987</v>
      </c>
      <c r="S292" s="26">
        <v>6.1876933654176698</v>
      </c>
    </row>
    <row r="293" spans="1:19">
      <c r="A293" s="29" t="s">
        <v>331</v>
      </c>
      <c r="B293" s="29" t="s">
        <v>27</v>
      </c>
      <c r="C293" s="38">
        <v>45599</v>
      </c>
      <c r="D293" s="29" t="s">
        <v>28</v>
      </c>
      <c r="E293" s="29" t="s">
        <v>22</v>
      </c>
      <c r="F293" s="14">
        <v>3061</v>
      </c>
      <c r="G293" s="14">
        <v>320</v>
      </c>
      <c r="H293" s="14">
        <v>76</v>
      </c>
      <c r="I293" s="14">
        <v>26640</v>
      </c>
      <c r="J293" s="14">
        <v>24306</v>
      </c>
      <c r="K293" s="14">
        <v>112</v>
      </c>
      <c r="L293" s="29" t="s">
        <v>30</v>
      </c>
      <c r="M293" s="29" t="s">
        <v>19</v>
      </c>
      <c r="N293" s="29" t="s">
        <v>20</v>
      </c>
      <c r="O293" s="29" t="str">
        <f>IF(AND(C293&gt;='Task 1.2'!$B$2,C293&lt;='Task 1.2'!$C$2),"During","Before")</f>
        <v>Before</v>
      </c>
      <c r="P293" s="26">
        <f ca="1">AVERAGEIF(O293:O591,"Before",Posts[[#This Row],[engagement rate]])</f>
        <v>8.0560524638954796</v>
      </c>
      <c r="Q293" s="26">
        <v>6.965763900212762</v>
      </c>
      <c r="R293" s="26">
        <f ca="1">Posts[[#This Row],[Avg. During]]-Posts[[#This Row],[Avg. Before]]/Posts[[#This Row],[Avg. Before]]</f>
        <v>5.965763900212762</v>
      </c>
      <c r="S293" s="26">
        <v>13.397147147147148</v>
      </c>
    </row>
    <row r="294" spans="1:19">
      <c r="A294" s="29" t="s">
        <v>332</v>
      </c>
      <c r="B294" s="29" t="s">
        <v>34</v>
      </c>
      <c r="C294" s="38">
        <v>45765</v>
      </c>
      <c r="D294" s="29" t="s">
        <v>57</v>
      </c>
      <c r="E294" s="29" t="s">
        <v>51</v>
      </c>
      <c r="F294" s="14">
        <v>1265</v>
      </c>
      <c r="G294" s="14">
        <v>230</v>
      </c>
      <c r="H294" s="14">
        <v>364</v>
      </c>
      <c r="I294" s="14">
        <v>41312</v>
      </c>
      <c r="J294" s="14">
        <v>50382</v>
      </c>
      <c r="K294" s="14">
        <v>106</v>
      </c>
      <c r="L294" s="29" t="s">
        <v>23</v>
      </c>
      <c r="M294" s="29" t="s">
        <v>18</v>
      </c>
      <c r="N294" s="29" t="s">
        <v>58</v>
      </c>
      <c r="O294" s="29" t="str">
        <f>IF(AND(C294&gt;='Task 1.2'!$B$2,C294&lt;='Task 1.2'!$C$2),"During","Before")</f>
        <v>Before</v>
      </c>
      <c r="P294" s="26">
        <f ca="1">AVERAGEIF(O294:O592,"Before",Posts[[#This Row],[engagement rate]])</f>
        <v>7.2930389377166689</v>
      </c>
      <c r="Q294" s="26">
        <v>6.8049057969385913</v>
      </c>
      <c r="R294" s="26">
        <f ca="1">Posts[[#This Row],[Avg. During]]-Posts[[#This Row],[Avg. Before]]/Posts[[#This Row],[Avg. Before]]</f>
        <v>5.8049057969385913</v>
      </c>
      <c r="S294" s="26">
        <v>4.756487219209915</v>
      </c>
    </row>
    <row r="295" spans="1:19">
      <c r="A295" s="29" t="s">
        <v>333</v>
      </c>
      <c r="B295" s="29" t="s">
        <v>15</v>
      </c>
      <c r="C295" s="38">
        <v>45653</v>
      </c>
      <c r="D295" s="29" t="s">
        <v>16</v>
      </c>
      <c r="E295" s="29" t="s">
        <v>49</v>
      </c>
      <c r="F295" s="14">
        <v>1436</v>
      </c>
      <c r="G295" s="14">
        <v>219</v>
      </c>
      <c r="H295" s="14">
        <v>229</v>
      </c>
      <c r="I295" s="14">
        <v>58488</v>
      </c>
      <c r="J295" s="14">
        <v>24314</v>
      </c>
      <c r="K295" s="14">
        <v>147</v>
      </c>
      <c r="L295" s="29" t="s">
        <v>23</v>
      </c>
      <c r="M295" s="29" t="s">
        <v>24</v>
      </c>
      <c r="N295" s="29" t="s">
        <v>25</v>
      </c>
      <c r="O295" s="29" t="str">
        <f>IF(AND(C295&gt;='Task 1.2'!$B$2,C295&lt;='Task 1.2'!$C$2),"During","Before")</f>
        <v>Before</v>
      </c>
      <c r="P295" s="26">
        <f ca="1">AVERAGEIF(O295:O593,"Before",Posts[[#This Row],[engagement rate]])</f>
        <v>7.7157975574677948</v>
      </c>
      <c r="Q295" s="26">
        <v>7.4123670956415495</v>
      </c>
      <c r="R295" s="26">
        <f ca="1">Posts[[#This Row],[Avg. During]]-Posts[[#This Row],[Avg. Before]]/Posts[[#This Row],[Avg. Before]]</f>
        <v>6.4123670956415495</v>
      </c>
      <c r="S295" s="26">
        <v>3.4725071809601973</v>
      </c>
    </row>
    <row r="296" spans="1:19">
      <c r="A296" s="29" t="s">
        <v>334</v>
      </c>
      <c r="B296" s="29" t="s">
        <v>15</v>
      </c>
      <c r="C296" s="38">
        <v>45724</v>
      </c>
      <c r="D296" s="29" t="s">
        <v>28</v>
      </c>
      <c r="E296" s="29" t="s">
        <v>43</v>
      </c>
      <c r="F296" s="14">
        <v>2244</v>
      </c>
      <c r="G296" s="14">
        <v>392</v>
      </c>
      <c r="H296" s="14">
        <v>231</v>
      </c>
      <c r="I296" s="14">
        <v>25834</v>
      </c>
      <c r="J296" s="14">
        <v>50906</v>
      </c>
      <c r="K296" s="14">
        <v>165</v>
      </c>
      <c r="L296" s="29" t="s">
        <v>19</v>
      </c>
      <c r="M296" s="29" t="s">
        <v>24</v>
      </c>
      <c r="N296" s="29" t="s">
        <v>55</v>
      </c>
      <c r="O296" s="29" t="str">
        <f>IF(AND(C296&gt;='Task 1.2'!$B$2,C296&lt;='Task 1.2'!$C$2),"During","Before")</f>
        <v>Before</v>
      </c>
      <c r="P296" s="26">
        <f ca="1">AVERAGEIF(O296:O594,"Before",Posts[[#This Row],[engagement rate]])</f>
        <v>8.5644556327693149</v>
      </c>
      <c r="Q296" s="26">
        <v>6.8856295608498703</v>
      </c>
      <c r="R296" s="26">
        <f ca="1">Posts[[#This Row],[Avg. During]]-Posts[[#This Row],[Avg. Before]]/Posts[[#This Row],[Avg. Before]]</f>
        <v>5.8856295608498703</v>
      </c>
      <c r="S296" s="26">
        <v>11.736471316869242</v>
      </c>
    </row>
    <row r="297" spans="1:19">
      <c r="A297" s="29" t="s">
        <v>335</v>
      </c>
      <c r="B297" s="29" t="s">
        <v>27</v>
      </c>
      <c r="C297" s="38">
        <v>45736</v>
      </c>
      <c r="D297" s="29" t="s">
        <v>28</v>
      </c>
      <c r="E297" s="29" t="s">
        <v>51</v>
      </c>
      <c r="F297" s="14">
        <v>3393</v>
      </c>
      <c r="G297" s="14">
        <v>104</v>
      </c>
      <c r="H297" s="14">
        <v>79</v>
      </c>
      <c r="I297" s="14">
        <v>30025</v>
      </c>
      <c r="J297" s="14">
        <v>21593</v>
      </c>
      <c r="K297" s="14">
        <v>165</v>
      </c>
      <c r="L297" s="29" t="s">
        <v>30</v>
      </c>
      <c r="M297" s="29" t="s">
        <v>19</v>
      </c>
      <c r="N297" s="29" t="s">
        <v>20</v>
      </c>
      <c r="O297" s="29" t="str">
        <f>IF(AND(C297&gt;='Task 1.2'!$B$2,C297&lt;='Task 1.2'!$C$2),"During","Before")</f>
        <v>Before</v>
      </c>
      <c r="P297" s="26">
        <f ca="1">AVERAGEIF(O297:O595,"Before",Posts[[#This Row],[engagement rate]])</f>
        <v>7.7714517117443336</v>
      </c>
      <c r="Q297" s="26">
        <v>6.7994123715167909</v>
      </c>
      <c r="R297" s="26">
        <f ca="1">Posts[[#This Row],[Avg. During]]-Posts[[#This Row],[Avg. Before]]/Posts[[#This Row],[Avg. Before]]</f>
        <v>5.7994123715167909</v>
      </c>
      <c r="S297" s="26">
        <v>12.459616985845129</v>
      </c>
    </row>
    <row r="298" spans="1:19">
      <c r="A298" s="29" t="s">
        <v>336</v>
      </c>
      <c r="B298" s="29" t="s">
        <v>27</v>
      </c>
      <c r="C298" s="38">
        <v>45612</v>
      </c>
      <c r="D298" s="29" t="s">
        <v>16</v>
      </c>
      <c r="E298" s="29" t="s">
        <v>22</v>
      </c>
      <c r="F298" s="14">
        <v>2901</v>
      </c>
      <c r="G298" s="14">
        <v>108</v>
      </c>
      <c r="H298" s="14">
        <v>86</v>
      </c>
      <c r="I298" s="14">
        <v>51777</v>
      </c>
      <c r="J298" s="14">
        <v>23773</v>
      </c>
      <c r="K298" s="14">
        <v>160</v>
      </c>
      <c r="L298" s="29" t="s">
        <v>18</v>
      </c>
      <c r="M298" s="29" t="s">
        <v>24</v>
      </c>
      <c r="N298" s="29" t="s">
        <v>25</v>
      </c>
      <c r="O298" s="29" t="str">
        <f>IF(AND(C298&gt;='Task 1.2'!$B$2,C298&lt;='Task 1.2'!$C$2),"During","Before")</f>
        <v>Before</v>
      </c>
      <c r="P298" s="26">
        <f ca="1">AVERAGEIF(O298:O596,"Before",Posts[[#This Row],[engagement rate]])</f>
        <v>6.2087299537107343</v>
      </c>
      <c r="Q298" s="26">
        <v>9.3015467570861734</v>
      </c>
      <c r="R298" s="26">
        <f ca="1">Posts[[#This Row],[Avg. During]]-Posts[[#This Row],[Avg. Before]]/Posts[[#This Row],[Avg. Before]]</f>
        <v>8.3015467570861734</v>
      </c>
      <c r="S298" s="26">
        <v>6.2865751202271278</v>
      </c>
    </row>
    <row r="299" spans="1:19">
      <c r="A299" s="29" t="s">
        <v>337</v>
      </c>
      <c r="B299" s="29" t="s">
        <v>27</v>
      </c>
      <c r="C299" s="38">
        <v>45838</v>
      </c>
      <c r="D299" s="29" t="s">
        <v>16</v>
      </c>
      <c r="E299" s="29" t="s">
        <v>38</v>
      </c>
      <c r="F299" s="14">
        <v>2275</v>
      </c>
      <c r="G299" s="14">
        <v>285</v>
      </c>
      <c r="H299" s="14">
        <v>125</v>
      </c>
      <c r="I299" s="14">
        <v>43970</v>
      </c>
      <c r="J299" s="14">
        <v>74761</v>
      </c>
      <c r="K299" s="14">
        <v>83</v>
      </c>
      <c r="L299" s="29" t="s">
        <v>19</v>
      </c>
      <c r="M299" s="29" t="s">
        <v>24</v>
      </c>
      <c r="N299" s="29" t="s">
        <v>20</v>
      </c>
      <c r="O299" s="29" t="str">
        <f>IF(AND(C299&gt;='Task 1.2'!$B$2,C299&lt;='Task 1.2'!$C$2),"During","Before")</f>
        <v>Before</v>
      </c>
      <c r="P299" s="26">
        <f ca="1">AVERAGEIF(O299:O597,"Before",Posts[[#This Row],[engagement rate]])</f>
        <v>6.1698073704525385</v>
      </c>
      <c r="Q299" s="26">
        <v>9.5879331298330879</v>
      </c>
      <c r="R299" s="26">
        <f ca="1">Posts[[#This Row],[Avg. During]]-Posts[[#This Row],[Avg. Before]]/Posts[[#This Row],[Avg. Before]]</f>
        <v>8.5879331298330879</v>
      </c>
      <c r="S299" s="26">
        <v>6.2952012735956338</v>
      </c>
    </row>
    <row r="300" spans="1:19">
      <c r="A300" s="29" t="s">
        <v>338</v>
      </c>
      <c r="B300" s="29" t="s">
        <v>27</v>
      </c>
      <c r="C300" s="38">
        <v>45303</v>
      </c>
      <c r="D300" s="29" t="s">
        <v>28</v>
      </c>
      <c r="E300" s="29" t="s">
        <v>32</v>
      </c>
      <c r="F300" s="14">
        <v>2227</v>
      </c>
      <c r="G300" s="14">
        <v>494</v>
      </c>
      <c r="H300" s="14">
        <v>161</v>
      </c>
      <c r="I300" s="14">
        <v>51651</v>
      </c>
      <c r="J300" s="14">
        <v>68074</v>
      </c>
      <c r="K300" s="14">
        <v>240</v>
      </c>
      <c r="L300" s="29" t="s">
        <v>23</v>
      </c>
      <c r="M300" s="29" t="s">
        <v>30</v>
      </c>
      <c r="N300" s="29" t="s">
        <v>20</v>
      </c>
      <c r="O300" s="29" t="str">
        <f>IF(AND(C300&gt;='Task 1.2'!$B$2,C300&lt;='Task 1.2'!$C$2),"During","Before")</f>
        <v>Before</v>
      </c>
      <c r="P300" s="26">
        <f ca="1">AVERAGEIF(O300:O598,"Before",Posts[[#This Row],[engagement rate]])</f>
        <v>6.0444134673094423</v>
      </c>
      <c r="Q300" s="26">
        <v>9.7093452419268242</v>
      </c>
      <c r="R300" s="26">
        <f ca="1">Posts[[#This Row],[Avg. During]]-Posts[[#This Row],[Avg. Before]]/Posts[[#This Row],[Avg. Before]]</f>
        <v>8.7093452419268242</v>
      </c>
      <c r="S300" s="26">
        <v>6.0444134673094423</v>
      </c>
    </row>
  </sheetData>
  <phoneticPr fontId="7" type="noConversion"/>
  <pageMargins left="0.7" right="0.7" top="0.75" bottom="0.75" header="0.3" footer="0.3"/>
  <ignoredErrors>
    <ignoredError sqref="Q283:Q300" calculatedColum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7A63-3A01-4E13-A09D-0EE14FAC4411}">
  <dimension ref="A1:J201"/>
  <sheetViews>
    <sheetView workbookViewId="0">
      <selection activeCell="J6" sqref="J6"/>
    </sheetView>
  </sheetViews>
  <sheetFormatPr defaultRowHeight="14.4"/>
  <cols>
    <col min="1" max="1" width="15.77734375" style="8" bestFit="1" customWidth="1"/>
    <col min="2" max="2" width="9.109375" style="8" bestFit="1" customWidth="1"/>
    <col min="3" max="3" width="13.77734375" style="8" bestFit="1" customWidth="1"/>
    <col min="4" max="4" width="9.44140625" style="8" bestFit="1" customWidth="1"/>
    <col min="5" max="5" width="14.21875" style="8" bestFit="1" customWidth="1"/>
    <col min="6" max="6" width="16.44140625" style="8" bestFit="1" customWidth="1"/>
    <col min="7" max="7" width="9.6640625" style="8" bestFit="1" customWidth="1"/>
    <col min="8" max="8" width="5.5546875" style="8" bestFit="1" customWidth="1"/>
    <col min="9" max="9" width="18.44140625" style="8" bestFit="1" customWidth="1"/>
    <col min="10" max="10" width="14.88671875" style="8" bestFit="1" customWidth="1"/>
    <col min="11" max="16384" width="8.88671875" style="8"/>
  </cols>
  <sheetData>
    <row r="1" spans="1:10">
      <c r="A1" s="13" t="s">
        <v>356</v>
      </c>
      <c r="B1" s="13" t="s">
        <v>1</v>
      </c>
      <c r="C1" s="13" t="s">
        <v>357</v>
      </c>
      <c r="D1" s="13" t="s">
        <v>358</v>
      </c>
      <c r="E1" s="13" t="s">
        <v>359</v>
      </c>
      <c r="F1" s="13" t="s">
        <v>360</v>
      </c>
      <c r="G1" s="13" t="s">
        <v>361</v>
      </c>
      <c r="H1" s="13" t="s">
        <v>418</v>
      </c>
      <c r="I1" s="13" t="s">
        <v>421</v>
      </c>
      <c r="J1" s="13" t="s">
        <v>424</v>
      </c>
    </row>
    <row r="2" spans="1:10">
      <c r="A2" s="15">
        <v>45446</v>
      </c>
      <c r="B2" s="9" t="s">
        <v>15</v>
      </c>
      <c r="C2" s="8">
        <v>1402</v>
      </c>
      <c r="D2" s="8">
        <v>68</v>
      </c>
      <c r="E2" s="8">
        <v>124562</v>
      </c>
      <c r="F2" s="8">
        <v>9.92</v>
      </c>
      <c r="G2" s="8">
        <v>23125</v>
      </c>
      <c r="H2" s="41">
        <f>Engagement_Summary[[#This Row],[Engagement_Rate]]/Engagement_Summary[[#This Row],[Ad_Spend]]*100</f>
        <v>4.2897297297297299E-2</v>
      </c>
      <c r="I2" s="8">
        <f>Engagement_Summary[[#This Row],[New_Followers]]-Engagement_Summary[[#This Row],[Unfollows]]</f>
        <v>1334</v>
      </c>
      <c r="J2" s="15" t="str">
        <f>INDEX(Engagement_Summary[Week_Start_Date],MATCH(MAX(I2:I201),I2:I201,0))&amp; "-" &amp; INDEX(B2:B201,MATCH(MAX(I2:I201),I2:I201,0))</f>
        <v>45453-Twitter</v>
      </c>
    </row>
    <row r="3" spans="1:10">
      <c r="A3" s="15">
        <v>45446</v>
      </c>
      <c r="B3" s="9" t="s">
        <v>27</v>
      </c>
      <c r="C3" s="8">
        <v>995</v>
      </c>
      <c r="D3" s="8">
        <v>86</v>
      </c>
      <c r="E3" s="8">
        <v>227958</v>
      </c>
      <c r="F3" s="8">
        <v>8.0500000000000007</v>
      </c>
      <c r="G3" s="8">
        <v>22788</v>
      </c>
      <c r="H3" s="41">
        <f>Engagement_Summary[[#This Row],[Engagement_Rate]]/Engagement_Summary[[#This Row],[Ad_Spend]]*100</f>
        <v>3.5325609970159738E-2</v>
      </c>
      <c r="I3" s="8">
        <f>Engagement_Summary[[#This Row],[New_Followers]]-Engagement_Summary[[#This Row],[Unfollows]]</f>
        <v>909</v>
      </c>
      <c r="J3" s="8" t="str">
        <f>INDEX(Engagement_Summary[Week_Start_Date],MATCH(MAX(I3:I202),I3:I202,0))&amp; "-" &amp; INDEX(B3:B202,MATCH(MAX(I3:I202),I3:I202,0))</f>
        <v>45453-Twitter</v>
      </c>
    </row>
    <row r="4" spans="1:10">
      <c r="A4" s="15">
        <v>45446</v>
      </c>
      <c r="B4" s="9" t="s">
        <v>34</v>
      </c>
      <c r="C4" s="8">
        <v>1472</v>
      </c>
      <c r="D4" s="8">
        <v>296</v>
      </c>
      <c r="E4" s="8">
        <v>370242</v>
      </c>
      <c r="F4" s="8">
        <v>7.72</v>
      </c>
      <c r="G4" s="8">
        <v>7810</v>
      </c>
      <c r="H4" s="41">
        <f>Engagement_Summary[[#This Row],[Engagement_Rate]]/Engagement_Summary[[#This Row],[Ad_Spend]]*100</f>
        <v>9.8847631241997427E-2</v>
      </c>
      <c r="I4" s="8">
        <f>Engagement_Summary[[#This Row],[New_Followers]]-Engagement_Summary[[#This Row],[Unfollows]]</f>
        <v>1176</v>
      </c>
      <c r="J4" s="8" t="str">
        <f>INDEX(Engagement_Summary[Week_Start_Date],MATCH(MAX(I4:I203),I4:I203,0))&amp; "-" &amp; INDEX(B4:B203,MATCH(MAX(I4:I203),I4:I203,0))</f>
        <v>45446-Twitter</v>
      </c>
    </row>
    <row r="5" spans="1:10">
      <c r="A5" s="15">
        <v>45453</v>
      </c>
      <c r="B5" s="9" t="s">
        <v>15</v>
      </c>
      <c r="C5" s="8">
        <v>1018</v>
      </c>
      <c r="D5" s="8">
        <v>90</v>
      </c>
      <c r="E5" s="8">
        <v>92474</v>
      </c>
      <c r="F5" s="8">
        <v>9.4</v>
      </c>
      <c r="G5" s="8">
        <v>11966</v>
      </c>
      <c r="H5" s="41">
        <f>Engagement_Summary[[#This Row],[Engagement_Rate]]/Engagement_Summary[[#This Row],[Ad_Spend]]*100</f>
        <v>7.855590840715361E-2</v>
      </c>
      <c r="I5" s="8">
        <f>Engagement_Summary[[#This Row],[New_Followers]]-Engagement_Summary[[#This Row],[Unfollows]]</f>
        <v>928</v>
      </c>
      <c r="J5" s="8" t="str">
        <f>INDEX(Engagement_Summary[Week_Start_Date],MATCH(MAX(I5:I204),I5:I204,0))&amp; "-" &amp; INDEX(B5:B204,MATCH(MAX(I5:I204),I5:I204,0))</f>
        <v>45446-Twitter</v>
      </c>
    </row>
    <row r="6" spans="1:10">
      <c r="A6" s="15">
        <v>45453</v>
      </c>
      <c r="B6" s="9" t="s">
        <v>27</v>
      </c>
      <c r="C6" s="8">
        <v>1461</v>
      </c>
      <c r="D6" s="8">
        <v>64</v>
      </c>
      <c r="E6" s="8">
        <v>328902</v>
      </c>
      <c r="F6" s="8">
        <v>9.02</v>
      </c>
      <c r="G6" s="8">
        <v>26298</v>
      </c>
      <c r="H6" s="41">
        <f>Engagement_Summary[[#This Row],[Engagement_Rate]]/Engagement_Summary[[#This Row],[Ad_Spend]]*100</f>
        <v>3.4299186249904932E-2</v>
      </c>
      <c r="I6" s="8">
        <f>Engagement_Summary[[#This Row],[New_Followers]]-Engagement_Summary[[#This Row],[Unfollows]]</f>
        <v>1397</v>
      </c>
      <c r="J6" s="8" t="str">
        <f>INDEX(Engagement_Summary[Week_Start_Date],MATCH(MAX(I6:I205),I6:I205,0))&amp; "-" &amp; INDEX(B6:B205,MATCH(MAX(I6:I205),I6:I205,0))</f>
        <v>45446-Twitter</v>
      </c>
    </row>
    <row r="7" spans="1:10">
      <c r="A7" s="15">
        <v>45453</v>
      </c>
      <c r="B7" s="9" t="s">
        <v>34</v>
      </c>
      <c r="C7" s="8">
        <v>545</v>
      </c>
      <c r="D7" s="8">
        <v>93</v>
      </c>
      <c r="E7" s="8">
        <v>391621</v>
      </c>
      <c r="F7" s="8">
        <v>9.9600000000000009</v>
      </c>
      <c r="G7" s="8">
        <v>22029</v>
      </c>
      <c r="H7" s="41">
        <f>Engagement_Summary[[#This Row],[Engagement_Rate]]/Engagement_Summary[[#This Row],[Ad_Spend]]*100</f>
        <v>4.5213128149257799E-2</v>
      </c>
      <c r="I7" s="8">
        <f>Engagement_Summary[[#This Row],[New_Followers]]-Engagement_Summary[[#This Row],[Unfollows]]</f>
        <v>452</v>
      </c>
      <c r="J7" s="8" t="str">
        <f>INDEX(Engagement_Summary[Week_Start_Date],MATCH(MAX(I7:I206),I7:I206,0))&amp; "-" &amp; INDEX(B7:B206,MATCH(MAX(I7:I206),I7:I206,0))</f>
        <v>45586-Twitter</v>
      </c>
    </row>
    <row r="8" spans="1:10">
      <c r="A8" s="15">
        <v>45460</v>
      </c>
      <c r="B8" s="9" t="s">
        <v>15</v>
      </c>
      <c r="C8" s="8">
        <v>881</v>
      </c>
      <c r="D8" s="8">
        <v>291</v>
      </c>
      <c r="E8" s="8">
        <v>95885</v>
      </c>
      <c r="F8" s="8">
        <v>5.29</v>
      </c>
      <c r="G8" s="8">
        <v>12391</v>
      </c>
      <c r="H8" s="41">
        <f>Engagement_Summary[[#This Row],[Engagement_Rate]]/Engagement_Summary[[#This Row],[Ad_Spend]]*100</f>
        <v>4.269227665240901E-2</v>
      </c>
      <c r="I8" s="8">
        <f>Engagement_Summary[[#This Row],[New_Followers]]-Engagement_Summary[[#This Row],[Unfollows]]</f>
        <v>590</v>
      </c>
      <c r="J8" s="8" t="str">
        <f>INDEX(Engagement_Summary[Week_Start_Date],MATCH(MAX(I8:I207),I8:I207,0))&amp; "-" &amp; INDEX(B8:B207,MATCH(MAX(I8:I207),I8:I207,0))</f>
        <v>45586-Twitter</v>
      </c>
    </row>
    <row r="9" spans="1:10">
      <c r="A9" s="15">
        <v>45460</v>
      </c>
      <c r="B9" s="9" t="s">
        <v>27</v>
      </c>
      <c r="C9" s="8">
        <v>1414</v>
      </c>
      <c r="D9" s="8">
        <v>131</v>
      </c>
      <c r="E9" s="8">
        <v>245947</v>
      </c>
      <c r="F9" s="8">
        <v>8.3000000000000007</v>
      </c>
      <c r="G9" s="8">
        <v>14477</v>
      </c>
      <c r="H9" s="41">
        <f>Engagement_Summary[[#This Row],[Engagement_Rate]]/Engagement_Summary[[#This Row],[Ad_Spend]]*100</f>
        <v>5.7332320232092289E-2</v>
      </c>
      <c r="I9" s="8">
        <f>Engagement_Summary[[#This Row],[New_Followers]]-Engagement_Summary[[#This Row],[Unfollows]]</f>
        <v>1283</v>
      </c>
      <c r="J9" s="8" t="str">
        <f>INDEX(Engagement_Summary[Week_Start_Date],MATCH(MAX(I9:I208),I9:I208,0))&amp; "-" &amp; INDEX(B9:B208,MATCH(MAX(I9:I208),I9:I208,0))</f>
        <v>45586-Twitter</v>
      </c>
    </row>
    <row r="10" spans="1:10">
      <c r="A10" s="15">
        <v>45460</v>
      </c>
      <c r="B10" s="9" t="s">
        <v>34</v>
      </c>
      <c r="C10" s="8">
        <v>1472</v>
      </c>
      <c r="D10" s="8">
        <v>170</v>
      </c>
      <c r="E10" s="8">
        <v>250428</v>
      </c>
      <c r="F10" s="8">
        <v>4.66</v>
      </c>
      <c r="G10" s="8">
        <v>25040</v>
      </c>
      <c r="H10" s="41">
        <f>Engagement_Summary[[#This Row],[Engagement_Rate]]/Engagement_Summary[[#This Row],[Ad_Spend]]*100</f>
        <v>1.8610223642172526E-2</v>
      </c>
      <c r="I10" s="8">
        <f>Engagement_Summary[[#This Row],[New_Followers]]-Engagement_Summary[[#This Row],[Unfollows]]</f>
        <v>1302</v>
      </c>
      <c r="J10" s="8" t="str">
        <f>INDEX(Engagement_Summary[Week_Start_Date],MATCH(MAX(I10:I209),I10:I209,0))&amp; "-" &amp; INDEX(B10:B209,MATCH(MAX(I10:I209),I10:I209,0))</f>
        <v>45579-Twitter</v>
      </c>
    </row>
    <row r="11" spans="1:10">
      <c r="A11" s="15">
        <v>45467</v>
      </c>
      <c r="B11" s="9" t="s">
        <v>15</v>
      </c>
      <c r="C11" s="8">
        <v>809</v>
      </c>
      <c r="D11" s="8">
        <v>197</v>
      </c>
      <c r="E11" s="8">
        <v>87186</v>
      </c>
      <c r="F11" s="8">
        <v>9.48</v>
      </c>
      <c r="G11" s="8">
        <v>22619</v>
      </c>
      <c r="H11" s="41">
        <f>Engagement_Summary[[#This Row],[Engagement_Rate]]/Engagement_Summary[[#This Row],[Ad_Spend]]*100</f>
        <v>4.191166718245723E-2</v>
      </c>
      <c r="I11" s="8">
        <f>Engagement_Summary[[#This Row],[New_Followers]]-Engagement_Summary[[#This Row],[Unfollows]]</f>
        <v>612</v>
      </c>
      <c r="J11" s="8" t="str">
        <f>INDEX(Engagement_Summary[Week_Start_Date],MATCH(MAX(I11:I210),I11:I210,0))&amp; "-" &amp; INDEX(B11:B210,MATCH(MAX(I11:I210),I11:I210,0))</f>
        <v>45579-Twitter</v>
      </c>
    </row>
    <row r="12" spans="1:10">
      <c r="A12" s="15">
        <v>45467</v>
      </c>
      <c r="B12" s="9" t="s">
        <v>27</v>
      </c>
      <c r="C12" s="8">
        <v>1371</v>
      </c>
      <c r="D12" s="8">
        <v>250</v>
      </c>
      <c r="E12" s="8">
        <v>128620</v>
      </c>
      <c r="F12" s="8">
        <v>7.11</v>
      </c>
      <c r="G12" s="8">
        <v>12399</v>
      </c>
      <c r="H12" s="41">
        <f>Engagement_Summary[[#This Row],[Engagement_Rate]]/Engagement_Summary[[#This Row],[Ad_Spend]]*100</f>
        <v>5.7343334139849989E-2</v>
      </c>
      <c r="I12" s="8">
        <f>Engagement_Summary[[#This Row],[New_Followers]]-Engagement_Summary[[#This Row],[Unfollows]]</f>
        <v>1121</v>
      </c>
      <c r="J12" s="8" t="str">
        <f>INDEX(Engagement_Summary[Week_Start_Date],MATCH(MAX(I12:I211),I12:I211,0))&amp; "-" &amp; INDEX(B12:B211,MATCH(MAX(I12:I211),I12:I211,0))</f>
        <v>45579-Twitter</v>
      </c>
    </row>
    <row r="13" spans="1:10">
      <c r="A13" s="15">
        <v>45467</v>
      </c>
      <c r="B13" s="9" t="s">
        <v>34</v>
      </c>
      <c r="C13" s="8">
        <v>844</v>
      </c>
      <c r="D13" s="8">
        <v>144</v>
      </c>
      <c r="E13" s="8">
        <v>126015</v>
      </c>
      <c r="F13" s="8">
        <v>9.65</v>
      </c>
      <c r="G13" s="8">
        <v>22456</v>
      </c>
      <c r="H13" s="41">
        <f>Engagement_Summary[[#This Row],[Engagement_Rate]]/Engagement_Summary[[#This Row],[Ad_Spend]]*100</f>
        <v>4.2972924830780197E-2</v>
      </c>
      <c r="I13" s="8">
        <f>Engagement_Summary[[#This Row],[New_Followers]]-Engagement_Summary[[#This Row],[Unfollows]]</f>
        <v>700</v>
      </c>
      <c r="J13" s="8" t="str">
        <f>INDEX(Engagement_Summary[Week_Start_Date],MATCH(MAX(I13:I212),I13:I212,0))&amp; "-" &amp; INDEX(B13:B212,MATCH(MAX(I13:I212),I13:I212,0))</f>
        <v>45572-Twitter</v>
      </c>
    </row>
    <row r="14" spans="1:10">
      <c r="A14" s="15">
        <v>45474</v>
      </c>
      <c r="B14" s="9" t="s">
        <v>15</v>
      </c>
      <c r="C14" s="8">
        <v>786</v>
      </c>
      <c r="D14" s="8">
        <v>72</v>
      </c>
      <c r="E14" s="8">
        <v>178615</v>
      </c>
      <c r="F14" s="8">
        <v>5.43</v>
      </c>
      <c r="G14" s="8">
        <v>19328</v>
      </c>
      <c r="H14" s="41">
        <f>Engagement_Summary[[#This Row],[Engagement_Rate]]/Engagement_Summary[[#This Row],[Ad_Spend]]*100</f>
        <v>2.8093956953642384E-2</v>
      </c>
      <c r="I14" s="8">
        <f>Engagement_Summary[[#This Row],[New_Followers]]-Engagement_Summary[[#This Row],[Unfollows]]</f>
        <v>714</v>
      </c>
      <c r="J14" s="8" t="str">
        <f>INDEX(Engagement_Summary[Week_Start_Date],MATCH(MAX(I14:I213),I14:I213,0))&amp; "-" &amp; INDEX(B14:B213,MATCH(MAX(I14:I213),I14:I213,0))</f>
        <v>45572-Twitter</v>
      </c>
    </row>
    <row r="15" spans="1:10">
      <c r="A15" s="15">
        <v>45474</v>
      </c>
      <c r="B15" s="9" t="s">
        <v>27</v>
      </c>
      <c r="C15" s="8">
        <v>845</v>
      </c>
      <c r="D15" s="8">
        <v>250</v>
      </c>
      <c r="E15" s="8">
        <v>218228</v>
      </c>
      <c r="F15" s="8">
        <v>4.5199999999999996</v>
      </c>
      <c r="G15" s="8">
        <v>21107</v>
      </c>
      <c r="H15" s="41">
        <f>Engagement_Summary[[#This Row],[Engagement_Rate]]/Engagement_Summary[[#This Row],[Ad_Spend]]*100</f>
        <v>2.1414696546169516E-2</v>
      </c>
      <c r="I15" s="8">
        <f>Engagement_Summary[[#This Row],[New_Followers]]-Engagement_Summary[[#This Row],[Unfollows]]</f>
        <v>595</v>
      </c>
      <c r="J15" s="8" t="str">
        <f>INDEX(Engagement_Summary[Week_Start_Date],MATCH(MAX(I15:I214),I15:I214,0))&amp; "-" &amp; INDEX(B15:B214,MATCH(MAX(I15:I214),I15:I214,0))</f>
        <v>45572-Twitter</v>
      </c>
    </row>
    <row r="16" spans="1:10">
      <c r="A16" s="15">
        <v>45474</v>
      </c>
      <c r="B16" s="9" t="s">
        <v>34</v>
      </c>
      <c r="C16" s="8">
        <v>1218</v>
      </c>
      <c r="D16" s="8">
        <v>101</v>
      </c>
      <c r="E16" s="8">
        <v>300397</v>
      </c>
      <c r="F16" s="8">
        <v>4.33</v>
      </c>
      <c r="G16" s="8">
        <v>12277</v>
      </c>
      <c r="H16" s="41">
        <f>Engagement_Summary[[#This Row],[Engagement_Rate]]/Engagement_Summary[[#This Row],[Ad_Spend]]*100</f>
        <v>3.5269202573918711E-2</v>
      </c>
      <c r="I16" s="8">
        <f>Engagement_Summary[[#This Row],[New_Followers]]-Engagement_Summary[[#This Row],[Unfollows]]</f>
        <v>1117</v>
      </c>
      <c r="J16" s="8" t="str">
        <f>INDEX(Engagement_Summary[Week_Start_Date],MATCH(MAX(I16:I215),I16:I215,0))&amp; "-" &amp; INDEX(B16:B215,MATCH(MAX(I16:I215),I16:I215,0))</f>
        <v>45565-Twitter</v>
      </c>
    </row>
    <row r="17" spans="1:10">
      <c r="A17" s="15">
        <v>45481</v>
      </c>
      <c r="B17" s="9" t="s">
        <v>15</v>
      </c>
      <c r="C17" s="8">
        <v>797</v>
      </c>
      <c r="D17" s="8">
        <v>130</v>
      </c>
      <c r="E17" s="8">
        <v>340121</v>
      </c>
      <c r="F17" s="8">
        <v>8.52</v>
      </c>
      <c r="G17" s="8">
        <v>11684</v>
      </c>
      <c r="H17" s="41">
        <f>Engagement_Summary[[#This Row],[Engagement_Rate]]/Engagement_Summary[[#This Row],[Ad_Spend]]*100</f>
        <v>7.2920232796987339E-2</v>
      </c>
      <c r="I17" s="8">
        <f>Engagement_Summary[[#This Row],[New_Followers]]-Engagement_Summary[[#This Row],[Unfollows]]</f>
        <v>667</v>
      </c>
      <c r="J17" s="8" t="str">
        <f>INDEX(Engagement_Summary[Week_Start_Date],MATCH(MAX(I17:I216),I17:I216,0))&amp; "-" &amp; INDEX(B17:B216,MATCH(MAX(I17:I216),I17:I216,0))</f>
        <v>45565-Twitter</v>
      </c>
    </row>
    <row r="18" spans="1:10">
      <c r="A18" s="15">
        <v>45481</v>
      </c>
      <c r="B18" s="9" t="s">
        <v>27</v>
      </c>
      <c r="C18" s="8">
        <v>1471</v>
      </c>
      <c r="D18" s="8">
        <v>100</v>
      </c>
      <c r="E18" s="8">
        <v>76866</v>
      </c>
      <c r="F18" s="8">
        <v>8.5500000000000007</v>
      </c>
      <c r="G18" s="8">
        <v>14412</v>
      </c>
      <c r="H18" s="41">
        <f>Engagement_Summary[[#This Row],[Engagement_Rate]]/Engagement_Summary[[#This Row],[Ad_Spend]]*100</f>
        <v>5.9325562031640307E-2</v>
      </c>
      <c r="I18" s="8">
        <f>Engagement_Summary[[#This Row],[New_Followers]]-Engagement_Summary[[#This Row],[Unfollows]]</f>
        <v>1371</v>
      </c>
      <c r="J18" s="8" t="str">
        <f>INDEX(Engagement_Summary[Week_Start_Date],MATCH(MAX(I18:I217),I18:I217,0))&amp; "-" &amp; INDEX(B18:B217,MATCH(MAX(I18:I217),I18:I217,0))</f>
        <v>45565-Twitter</v>
      </c>
    </row>
    <row r="19" spans="1:10">
      <c r="A19" s="15">
        <v>45481</v>
      </c>
      <c r="B19" s="9" t="s">
        <v>34</v>
      </c>
      <c r="C19" s="8">
        <v>1253</v>
      </c>
      <c r="D19" s="8">
        <v>136</v>
      </c>
      <c r="E19" s="8">
        <v>193131</v>
      </c>
      <c r="F19" s="8">
        <v>7.99</v>
      </c>
      <c r="G19" s="8">
        <v>15924</v>
      </c>
      <c r="H19" s="41">
        <f>Engagement_Summary[[#This Row],[Engagement_Rate]]/Engagement_Summary[[#This Row],[Ad_Spend]]*100</f>
        <v>5.017583521728209E-2</v>
      </c>
      <c r="I19" s="8">
        <f>Engagement_Summary[[#This Row],[New_Followers]]-Engagement_Summary[[#This Row],[Unfollows]]</f>
        <v>1117</v>
      </c>
      <c r="J19" s="8" t="str">
        <f>INDEX(Engagement_Summary[Week_Start_Date],MATCH(MAX(I19:I218),I19:I218,0))&amp; "-" &amp; INDEX(B19:B218,MATCH(MAX(I19:I218),I19:I218,0))</f>
        <v>45558-Twitter</v>
      </c>
    </row>
    <row r="20" spans="1:10">
      <c r="A20" s="15">
        <v>45488</v>
      </c>
      <c r="B20" s="9" t="s">
        <v>15</v>
      </c>
      <c r="C20" s="8">
        <v>616</v>
      </c>
      <c r="D20" s="8">
        <v>257</v>
      </c>
      <c r="E20" s="8">
        <v>169665</v>
      </c>
      <c r="F20" s="8">
        <v>6.31</v>
      </c>
      <c r="G20" s="8">
        <v>12390</v>
      </c>
      <c r="H20" s="41">
        <f>Engagement_Summary[[#This Row],[Engagement_Rate]]/Engagement_Summary[[#This Row],[Ad_Spend]]*100</f>
        <v>5.0928167877320421E-2</v>
      </c>
      <c r="I20" s="8">
        <f>Engagement_Summary[[#This Row],[New_Followers]]-Engagement_Summary[[#This Row],[Unfollows]]</f>
        <v>359</v>
      </c>
      <c r="J20" s="8" t="str">
        <f>INDEX(Engagement_Summary[Week_Start_Date],MATCH(MAX(I20:I219),I20:I219,0))&amp; "-" &amp; INDEX(B20:B219,MATCH(MAX(I20:I219),I20:I219,0))</f>
        <v>45558-Twitter</v>
      </c>
    </row>
    <row r="21" spans="1:10">
      <c r="A21" s="15">
        <v>45488</v>
      </c>
      <c r="B21" s="9" t="s">
        <v>27</v>
      </c>
      <c r="C21" s="8">
        <v>1308</v>
      </c>
      <c r="D21" s="8">
        <v>210</v>
      </c>
      <c r="E21" s="8">
        <v>263729</v>
      </c>
      <c r="F21" s="8">
        <v>8.5299999999999994</v>
      </c>
      <c r="G21" s="8">
        <v>25742</v>
      </c>
      <c r="H21" s="41">
        <f>Engagement_Summary[[#This Row],[Engagement_Rate]]/Engagement_Summary[[#This Row],[Ad_Spend]]*100</f>
        <v>3.3136508429803431E-2</v>
      </c>
      <c r="I21" s="8">
        <f>Engagement_Summary[[#This Row],[New_Followers]]-Engagement_Summary[[#This Row],[Unfollows]]</f>
        <v>1098</v>
      </c>
      <c r="J21" s="8" t="str">
        <f>INDEX(Engagement_Summary[Week_Start_Date],MATCH(MAX(I21:I220),I21:I220,0))&amp; "-" &amp; INDEX(B21:B220,MATCH(MAX(I21:I220),I21:I220,0))</f>
        <v>45558-Twitter</v>
      </c>
    </row>
    <row r="22" spans="1:10">
      <c r="A22" s="15">
        <v>45488</v>
      </c>
      <c r="B22" s="9" t="s">
        <v>34</v>
      </c>
      <c r="C22" s="8">
        <v>981</v>
      </c>
      <c r="D22" s="8">
        <v>69</v>
      </c>
      <c r="E22" s="8">
        <v>206921</v>
      </c>
      <c r="F22" s="8">
        <v>8.42</v>
      </c>
      <c r="G22" s="8">
        <v>10495</v>
      </c>
      <c r="H22" s="41">
        <f>Engagement_Summary[[#This Row],[Engagement_Rate]]/Engagement_Summary[[#This Row],[Ad_Spend]]*100</f>
        <v>8.0228680323963797E-2</v>
      </c>
      <c r="I22" s="8">
        <f>Engagement_Summary[[#This Row],[New_Followers]]-Engagement_Summary[[#This Row],[Unfollows]]</f>
        <v>912</v>
      </c>
      <c r="J22" s="8" t="str">
        <f>INDEX(Engagement_Summary[Week_Start_Date],MATCH(MAX(I22:I221),I22:I221,0))&amp; "-" &amp; INDEX(B22:B221,MATCH(MAX(I22:I221),I22:I221,0))</f>
        <v>45551-Twitter</v>
      </c>
    </row>
    <row r="23" spans="1:10">
      <c r="A23" s="15">
        <v>45495</v>
      </c>
      <c r="B23" s="9" t="s">
        <v>15</v>
      </c>
      <c r="C23" s="8">
        <v>866</v>
      </c>
      <c r="D23" s="8">
        <v>74</v>
      </c>
      <c r="E23" s="8">
        <v>204121</v>
      </c>
      <c r="F23" s="8">
        <v>9.34</v>
      </c>
      <c r="G23" s="8">
        <v>7797</v>
      </c>
      <c r="H23" s="41">
        <f>Engagement_Summary[[#This Row],[Engagement_Rate]]/Engagement_Summary[[#This Row],[Ad_Spend]]*100</f>
        <v>0.1197896626907785</v>
      </c>
      <c r="I23" s="8">
        <f>Engagement_Summary[[#This Row],[New_Followers]]-Engagement_Summary[[#This Row],[Unfollows]]</f>
        <v>792</v>
      </c>
      <c r="J23" s="8" t="str">
        <f>INDEX(Engagement_Summary[Week_Start_Date],MATCH(MAX(I23:I222),I23:I222,0))&amp; "-" &amp; INDEX(B23:B222,MATCH(MAX(I23:I222),I23:I222,0))</f>
        <v>45551-Twitter</v>
      </c>
    </row>
    <row r="24" spans="1:10">
      <c r="A24" s="15">
        <v>45495</v>
      </c>
      <c r="B24" s="9" t="s">
        <v>27</v>
      </c>
      <c r="C24" s="8">
        <v>547</v>
      </c>
      <c r="D24" s="8">
        <v>183</v>
      </c>
      <c r="E24" s="8">
        <v>266350</v>
      </c>
      <c r="F24" s="8">
        <v>5.65</v>
      </c>
      <c r="G24" s="8">
        <v>15595</v>
      </c>
      <c r="H24" s="41">
        <f>Engagement_Summary[[#This Row],[Engagement_Rate]]/Engagement_Summary[[#This Row],[Ad_Spend]]*100</f>
        <v>3.6229560756652776E-2</v>
      </c>
      <c r="I24" s="8">
        <f>Engagement_Summary[[#This Row],[New_Followers]]-Engagement_Summary[[#This Row],[Unfollows]]</f>
        <v>364</v>
      </c>
      <c r="J24" s="8" t="str">
        <f>INDEX(Engagement_Summary[Week_Start_Date],MATCH(MAX(I24:I223),I24:I223,0))&amp; "-" &amp; INDEX(B24:B223,MATCH(MAX(I24:I223),I24:I223,0))</f>
        <v>45551-Twitter</v>
      </c>
    </row>
    <row r="25" spans="1:10">
      <c r="A25" s="15">
        <v>45495</v>
      </c>
      <c r="B25" s="9" t="s">
        <v>34</v>
      </c>
      <c r="C25" s="8">
        <v>1241</v>
      </c>
      <c r="D25" s="8">
        <v>116</v>
      </c>
      <c r="E25" s="8">
        <v>380606</v>
      </c>
      <c r="F25" s="8">
        <v>4.2</v>
      </c>
      <c r="G25" s="8">
        <v>24617</v>
      </c>
      <c r="H25" s="41">
        <f>Engagement_Summary[[#This Row],[Engagement_Rate]]/Engagement_Summary[[#This Row],[Ad_Spend]]*100</f>
        <v>1.7061380346914734E-2</v>
      </c>
      <c r="I25" s="8">
        <f>Engagement_Summary[[#This Row],[New_Followers]]-Engagement_Summary[[#This Row],[Unfollows]]</f>
        <v>1125</v>
      </c>
      <c r="J25" s="8" t="str">
        <f>INDEX(Engagement_Summary[Week_Start_Date],MATCH(MAX(I25:I224),I25:I224,0))&amp; "-" &amp; INDEX(B25:B224,MATCH(MAX(I25:I224),I25:I224,0))</f>
        <v>45544-Twitter</v>
      </c>
    </row>
    <row r="26" spans="1:10">
      <c r="A26" s="15">
        <v>45502</v>
      </c>
      <c r="B26" s="9" t="s">
        <v>15</v>
      </c>
      <c r="C26" s="8">
        <v>973</v>
      </c>
      <c r="D26" s="8">
        <v>104</v>
      </c>
      <c r="E26" s="8">
        <v>376358</v>
      </c>
      <c r="F26" s="8">
        <v>3.87</v>
      </c>
      <c r="G26" s="8">
        <v>9847</v>
      </c>
      <c r="H26" s="41">
        <f>Engagement_Summary[[#This Row],[Engagement_Rate]]/Engagement_Summary[[#This Row],[Ad_Spend]]*100</f>
        <v>3.9301310043668124E-2</v>
      </c>
      <c r="I26" s="8">
        <f>Engagement_Summary[[#This Row],[New_Followers]]-Engagement_Summary[[#This Row],[Unfollows]]</f>
        <v>869</v>
      </c>
      <c r="J26" s="8" t="str">
        <f>INDEX(Engagement_Summary[Week_Start_Date],MATCH(MAX(I26:I225),I26:I225,0))&amp; "-" &amp; INDEX(B26:B225,MATCH(MAX(I26:I225),I26:I225,0))</f>
        <v>45544-Twitter</v>
      </c>
    </row>
    <row r="27" spans="1:10">
      <c r="A27" s="15">
        <v>45502</v>
      </c>
      <c r="B27" s="9" t="s">
        <v>27</v>
      </c>
      <c r="C27" s="8">
        <v>611</v>
      </c>
      <c r="D27" s="8">
        <v>197</v>
      </c>
      <c r="E27" s="8">
        <v>79423</v>
      </c>
      <c r="F27" s="8">
        <v>5.82</v>
      </c>
      <c r="G27" s="8">
        <v>13644</v>
      </c>
      <c r="H27" s="41">
        <f>Engagement_Summary[[#This Row],[Engagement_Rate]]/Engagement_Summary[[#This Row],[Ad_Spend]]*100</f>
        <v>4.2656112576956909E-2</v>
      </c>
      <c r="I27" s="8">
        <f>Engagement_Summary[[#This Row],[New_Followers]]-Engagement_Summary[[#This Row],[Unfollows]]</f>
        <v>414</v>
      </c>
      <c r="J27" s="8" t="str">
        <f>INDEX(Engagement_Summary[Week_Start_Date],MATCH(MAX(I27:I226),I27:I226,0))&amp; "-" &amp; INDEX(B27:B226,MATCH(MAX(I27:I226),I27:I226,0))</f>
        <v>45544-Twitter</v>
      </c>
    </row>
    <row r="28" spans="1:10">
      <c r="A28" s="15">
        <v>45502</v>
      </c>
      <c r="B28" s="9" t="s">
        <v>34</v>
      </c>
      <c r="C28" s="8">
        <v>983</v>
      </c>
      <c r="D28" s="8">
        <v>134</v>
      </c>
      <c r="E28" s="8">
        <v>352178</v>
      </c>
      <c r="F28" s="8">
        <v>3.55</v>
      </c>
      <c r="G28" s="8">
        <v>11421</v>
      </c>
      <c r="H28" s="41">
        <f>Engagement_Summary[[#This Row],[Engagement_Rate]]/Engagement_Summary[[#This Row],[Ad_Spend]]*100</f>
        <v>3.1083092548813588E-2</v>
      </c>
      <c r="I28" s="8">
        <f>Engagement_Summary[[#This Row],[New_Followers]]-Engagement_Summary[[#This Row],[Unfollows]]</f>
        <v>849</v>
      </c>
      <c r="J28" s="8" t="str">
        <f>INDEX(Engagement_Summary[Week_Start_Date],MATCH(MAX(I28:I227),I28:I227,0))&amp; "-" &amp; INDEX(B28:B227,MATCH(MAX(I28:I227),I28:I227,0))</f>
        <v>45537-Twitter</v>
      </c>
    </row>
    <row r="29" spans="1:10">
      <c r="A29" s="15">
        <v>45509</v>
      </c>
      <c r="B29" s="9" t="s">
        <v>15</v>
      </c>
      <c r="C29" s="8">
        <v>1449</v>
      </c>
      <c r="D29" s="8">
        <v>96</v>
      </c>
      <c r="E29" s="8">
        <v>200636</v>
      </c>
      <c r="F29" s="8">
        <v>9.92</v>
      </c>
      <c r="G29" s="8">
        <v>15613</v>
      </c>
      <c r="H29" s="41">
        <f>Engagement_Summary[[#This Row],[Engagement_Rate]]/Engagement_Summary[[#This Row],[Ad_Spend]]*100</f>
        <v>6.3536796259527323E-2</v>
      </c>
      <c r="I29" s="8">
        <f>Engagement_Summary[[#This Row],[New_Followers]]-Engagement_Summary[[#This Row],[Unfollows]]</f>
        <v>1353</v>
      </c>
      <c r="J29" s="8" t="str">
        <f>INDEX(Engagement_Summary[Week_Start_Date],MATCH(MAX(I29:I228),I29:I228,0))&amp; "-" &amp; INDEX(B29:B228,MATCH(MAX(I29:I228),I29:I228,0))</f>
        <v>45537-Twitter</v>
      </c>
    </row>
    <row r="30" spans="1:10">
      <c r="A30" s="15">
        <v>45509</v>
      </c>
      <c r="B30" s="9" t="s">
        <v>27</v>
      </c>
      <c r="C30" s="8">
        <v>752</v>
      </c>
      <c r="D30" s="8">
        <v>170</v>
      </c>
      <c r="E30" s="8">
        <v>132756</v>
      </c>
      <c r="F30" s="8">
        <v>8.17</v>
      </c>
      <c r="G30" s="8">
        <v>23900</v>
      </c>
      <c r="H30" s="41">
        <f>Engagement_Summary[[#This Row],[Engagement_Rate]]/Engagement_Summary[[#This Row],[Ad_Spend]]*100</f>
        <v>3.4184100418410038E-2</v>
      </c>
      <c r="I30" s="8">
        <f>Engagement_Summary[[#This Row],[New_Followers]]-Engagement_Summary[[#This Row],[Unfollows]]</f>
        <v>582</v>
      </c>
      <c r="J30" s="8" t="str">
        <f>INDEX(Engagement_Summary[Week_Start_Date],MATCH(MAX(I30:I229),I30:I229,0))&amp; "-" &amp; INDEX(B30:B229,MATCH(MAX(I30:I229),I30:I229,0))</f>
        <v>45537-Twitter</v>
      </c>
    </row>
    <row r="31" spans="1:10">
      <c r="A31" s="15">
        <v>45509</v>
      </c>
      <c r="B31" s="9" t="s">
        <v>34</v>
      </c>
      <c r="C31" s="8">
        <v>937</v>
      </c>
      <c r="D31" s="8">
        <v>179</v>
      </c>
      <c r="E31" s="8">
        <v>318098</v>
      </c>
      <c r="F31" s="8">
        <v>5.3</v>
      </c>
      <c r="G31" s="8">
        <v>5836</v>
      </c>
      <c r="H31" s="41">
        <f>Engagement_Summary[[#This Row],[Engagement_Rate]]/Engagement_Summary[[#This Row],[Ad_Spend]]*100</f>
        <v>9.0815627141877991E-2</v>
      </c>
      <c r="I31" s="8">
        <f>Engagement_Summary[[#This Row],[New_Followers]]-Engagement_Summary[[#This Row],[Unfollows]]</f>
        <v>758</v>
      </c>
      <c r="J31" s="8" t="str">
        <f>INDEX(Engagement_Summary[Week_Start_Date],MATCH(MAX(I31:I230),I31:I230,0))&amp; "-" &amp; INDEX(B31:B230,MATCH(MAX(I31:I230),I31:I230,0))</f>
        <v>45530-Twitter</v>
      </c>
    </row>
    <row r="32" spans="1:10">
      <c r="A32" s="15">
        <v>45516</v>
      </c>
      <c r="B32" s="9" t="s">
        <v>15</v>
      </c>
      <c r="C32" s="8">
        <v>1060</v>
      </c>
      <c r="D32" s="8">
        <v>83</v>
      </c>
      <c r="E32" s="8">
        <v>68724</v>
      </c>
      <c r="F32" s="8">
        <v>5.98</v>
      </c>
      <c r="G32" s="8">
        <v>5624</v>
      </c>
      <c r="H32" s="41">
        <f>Engagement_Summary[[#This Row],[Engagement_Rate]]/Engagement_Summary[[#This Row],[Ad_Spend]]*100</f>
        <v>0.10633001422475108</v>
      </c>
      <c r="I32" s="8">
        <f>Engagement_Summary[[#This Row],[New_Followers]]-Engagement_Summary[[#This Row],[Unfollows]]</f>
        <v>977</v>
      </c>
      <c r="J32" s="8" t="str">
        <f>INDEX(Engagement_Summary[Week_Start_Date],MATCH(MAX(I32:I231),I32:I231,0))&amp; "-" &amp; INDEX(B32:B231,MATCH(MAX(I32:I231),I32:I231,0))</f>
        <v>45530-Twitter</v>
      </c>
    </row>
    <row r="33" spans="1:10">
      <c r="A33" s="15">
        <v>45516</v>
      </c>
      <c r="B33" s="9" t="s">
        <v>27</v>
      </c>
      <c r="C33" s="8">
        <v>1456</v>
      </c>
      <c r="D33" s="8">
        <v>265</v>
      </c>
      <c r="E33" s="8">
        <v>115505</v>
      </c>
      <c r="F33" s="8">
        <v>7.49</v>
      </c>
      <c r="G33" s="8">
        <v>10311</v>
      </c>
      <c r="H33" s="41">
        <f>Engagement_Summary[[#This Row],[Engagement_Rate]]/Engagement_Summary[[#This Row],[Ad_Spend]]*100</f>
        <v>7.2640868974881201E-2</v>
      </c>
      <c r="I33" s="8">
        <f>Engagement_Summary[[#This Row],[New_Followers]]-Engagement_Summary[[#This Row],[Unfollows]]</f>
        <v>1191</v>
      </c>
      <c r="J33" s="8" t="str">
        <f>INDEX(Engagement_Summary[Week_Start_Date],MATCH(MAX(I33:I232),I33:I232,0))&amp; "-" &amp; INDEX(B33:B232,MATCH(MAX(I33:I232),I33:I232,0))</f>
        <v>45530-Twitter</v>
      </c>
    </row>
    <row r="34" spans="1:10">
      <c r="A34" s="15">
        <v>45516</v>
      </c>
      <c r="B34" s="9" t="s">
        <v>34</v>
      </c>
      <c r="C34" s="8">
        <v>1109</v>
      </c>
      <c r="D34" s="8">
        <v>205</v>
      </c>
      <c r="E34" s="8">
        <v>276722</v>
      </c>
      <c r="F34" s="8">
        <v>9.3800000000000008</v>
      </c>
      <c r="G34" s="8">
        <v>8274</v>
      </c>
      <c r="H34" s="41">
        <f>Engagement_Summary[[#This Row],[Engagement_Rate]]/Engagement_Summary[[#This Row],[Ad_Spend]]*100</f>
        <v>0.11336717428087988</v>
      </c>
      <c r="I34" s="8">
        <f>Engagement_Summary[[#This Row],[New_Followers]]-Engagement_Summary[[#This Row],[Unfollows]]</f>
        <v>904</v>
      </c>
      <c r="J34" s="8" t="str">
        <f>INDEX(Engagement_Summary[Week_Start_Date],MATCH(MAX(I34:I233),I34:I233,0))&amp; "-" &amp; INDEX(B34:B233,MATCH(MAX(I34:I233),I34:I233,0))</f>
        <v>45523-Twitter</v>
      </c>
    </row>
    <row r="35" spans="1:10">
      <c r="A35" s="15">
        <v>45523</v>
      </c>
      <c r="B35" s="9" t="s">
        <v>15</v>
      </c>
      <c r="C35" s="8">
        <v>1002</v>
      </c>
      <c r="D35" s="8">
        <v>93</v>
      </c>
      <c r="E35" s="8">
        <v>353538</v>
      </c>
      <c r="F35" s="8">
        <v>5.84</v>
      </c>
      <c r="G35" s="8">
        <v>6031</v>
      </c>
      <c r="H35" s="41">
        <f>Engagement_Summary[[#This Row],[Engagement_Rate]]/Engagement_Summary[[#This Row],[Ad_Spend]]*100</f>
        <v>9.6833029348366767E-2</v>
      </c>
      <c r="I35" s="8">
        <f>Engagement_Summary[[#This Row],[New_Followers]]-Engagement_Summary[[#This Row],[Unfollows]]</f>
        <v>909</v>
      </c>
      <c r="J35" s="8" t="str">
        <f>INDEX(Engagement_Summary[Week_Start_Date],MATCH(MAX(I35:I234),I35:I234,0))&amp; "-" &amp; INDEX(B35:B234,MATCH(MAX(I35:I234),I35:I234,0))</f>
        <v>45523-Twitter</v>
      </c>
    </row>
    <row r="36" spans="1:10">
      <c r="A36" s="15">
        <v>45523</v>
      </c>
      <c r="B36" s="9" t="s">
        <v>27</v>
      </c>
      <c r="C36" s="8">
        <v>571</v>
      </c>
      <c r="D36" s="8">
        <v>189</v>
      </c>
      <c r="E36" s="8">
        <v>61445</v>
      </c>
      <c r="F36" s="8">
        <v>5.41</v>
      </c>
      <c r="G36" s="8">
        <v>27829</v>
      </c>
      <c r="H36" s="41">
        <f>Engagement_Summary[[#This Row],[Engagement_Rate]]/Engagement_Summary[[#This Row],[Ad_Spend]]*100</f>
        <v>1.9440152359049914E-2</v>
      </c>
      <c r="I36" s="8">
        <f>Engagement_Summary[[#This Row],[New_Followers]]-Engagement_Summary[[#This Row],[Unfollows]]</f>
        <v>382</v>
      </c>
      <c r="J36" s="8" t="str">
        <f>INDEX(Engagement_Summary[Week_Start_Date],MATCH(MAX(I36:I235),I36:I235,0))&amp; "-" &amp; INDEX(B36:B235,MATCH(MAX(I36:I235),I36:I235,0))</f>
        <v>45523-Twitter</v>
      </c>
    </row>
    <row r="37" spans="1:10">
      <c r="A37" s="15">
        <v>45523</v>
      </c>
      <c r="B37" s="9" t="s">
        <v>34</v>
      </c>
      <c r="C37" s="8">
        <v>1240</v>
      </c>
      <c r="D37" s="8">
        <v>231</v>
      </c>
      <c r="E37" s="8">
        <v>165035</v>
      </c>
      <c r="F37" s="8">
        <v>6.05</v>
      </c>
      <c r="G37" s="8">
        <v>18267</v>
      </c>
      <c r="H37" s="41">
        <f>Engagement_Summary[[#This Row],[Engagement_Rate]]/Engagement_Summary[[#This Row],[Ad_Spend]]*100</f>
        <v>3.3119833579679202E-2</v>
      </c>
      <c r="I37" s="8">
        <f>Engagement_Summary[[#This Row],[New_Followers]]-Engagement_Summary[[#This Row],[Unfollows]]</f>
        <v>1009</v>
      </c>
      <c r="J37" s="8" t="str">
        <f>INDEX(Engagement_Summary[Week_Start_Date],MATCH(MAX(I37:I236),I37:I236,0))&amp; "-" &amp; INDEX(B37:B236,MATCH(MAX(I37:I236),I37:I236,0))</f>
        <v>45516-Twitter</v>
      </c>
    </row>
    <row r="38" spans="1:10">
      <c r="A38" s="15">
        <v>45530</v>
      </c>
      <c r="B38" s="9" t="s">
        <v>15</v>
      </c>
      <c r="C38" s="8">
        <v>1154</v>
      </c>
      <c r="D38" s="8">
        <v>132</v>
      </c>
      <c r="E38" s="8">
        <v>194595</v>
      </c>
      <c r="F38" s="8">
        <v>7.54</v>
      </c>
      <c r="G38" s="8">
        <v>26624</v>
      </c>
      <c r="H38" s="41">
        <f>Engagement_Summary[[#This Row],[Engagement_Rate]]/Engagement_Summary[[#This Row],[Ad_Spend]]*100</f>
        <v>2.8320312499999997E-2</v>
      </c>
      <c r="I38" s="8">
        <f>Engagement_Summary[[#This Row],[New_Followers]]-Engagement_Summary[[#This Row],[Unfollows]]</f>
        <v>1022</v>
      </c>
      <c r="J38" s="8" t="str">
        <f>INDEX(Engagement_Summary[Week_Start_Date],MATCH(MAX(I38:I237),I38:I237,0))&amp; "-" &amp; INDEX(B38:B237,MATCH(MAX(I38:I237),I38:I237,0))</f>
        <v>45516-Twitter</v>
      </c>
    </row>
    <row r="39" spans="1:10">
      <c r="A39" s="15">
        <v>45530</v>
      </c>
      <c r="B39" s="9" t="s">
        <v>27</v>
      </c>
      <c r="C39" s="8">
        <v>537</v>
      </c>
      <c r="D39" s="8">
        <v>275</v>
      </c>
      <c r="E39" s="8">
        <v>236238</v>
      </c>
      <c r="F39" s="8">
        <v>5.87</v>
      </c>
      <c r="G39" s="8">
        <v>26644</v>
      </c>
      <c r="H39" s="41">
        <f>Engagement_Summary[[#This Row],[Engagement_Rate]]/Engagement_Summary[[#This Row],[Ad_Spend]]*100</f>
        <v>2.2031226542561178E-2</v>
      </c>
      <c r="I39" s="8">
        <f>Engagement_Summary[[#This Row],[New_Followers]]-Engagement_Summary[[#This Row],[Unfollows]]</f>
        <v>262</v>
      </c>
      <c r="J39" s="8" t="str">
        <f>INDEX(Engagement_Summary[Week_Start_Date],MATCH(MAX(I39:I238),I39:I238,0))&amp; "-" &amp; INDEX(B39:B238,MATCH(MAX(I39:I238),I39:I238,0))</f>
        <v>45516-Twitter</v>
      </c>
    </row>
    <row r="40" spans="1:10">
      <c r="A40" s="15">
        <v>45530</v>
      </c>
      <c r="B40" s="9" t="s">
        <v>34</v>
      </c>
      <c r="C40" s="8">
        <v>1456</v>
      </c>
      <c r="D40" s="8">
        <v>290</v>
      </c>
      <c r="E40" s="8">
        <v>271044</v>
      </c>
      <c r="F40" s="8">
        <v>7.17</v>
      </c>
      <c r="G40" s="8">
        <v>13051</v>
      </c>
      <c r="H40" s="41">
        <f>Engagement_Summary[[#This Row],[Engagement_Rate]]/Engagement_Summary[[#This Row],[Ad_Spend]]*100</f>
        <v>5.493831890276607E-2</v>
      </c>
      <c r="I40" s="8">
        <f>Engagement_Summary[[#This Row],[New_Followers]]-Engagement_Summary[[#This Row],[Unfollows]]</f>
        <v>1166</v>
      </c>
      <c r="J40" s="8" t="str">
        <f>INDEX(Engagement_Summary[Week_Start_Date],MATCH(MAX(I40:I239),I40:I239,0))&amp; "-" &amp; INDEX(B40:B239,MATCH(MAX(I40:I239),I40:I239,0))</f>
        <v>45509-Twitter</v>
      </c>
    </row>
    <row r="41" spans="1:10">
      <c r="A41" s="15">
        <v>45537</v>
      </c>
      <c r="B41" s="9" t="s">
        <v>15</v>
      </c>
      <c r="C41" s="8">
        <v>721</v>
      </c>
      <c r="D41" s="8">
        <v>206</v>
      </c>
      <c r="E41" s="8">
        <v>334887</v>
      </c>
      <c r="F41" s="8">
        <v>6.05</v>
      </c>
      <c r="G41" s="8">
        <v>14217</v>
      </c>
      <c r="H41" s="41">
        <f>Engagement_Summary[[#This Row],[Engagement_Rate]]/Engagement_Summary[[#This Row],[Ad_Spend]]*100</f>
        <v>4.2554688049518181E-2</v>
      </c>
      <c r="I41" s="8">
        <f>Engagement_Summary[[#This Row],[New_Followers]]-Engagement_Summary[[#This Row],[Unfollows]]</f>
        <v>515</v>
      </c>
      <c r="J41" s="8" t="str">
        <f>INDEX(Engagement_Summary[Week_Start_Date],MATCH(MAX(I41:I240),I41:I240,0))&amp; "-" &amp; INDEX(B41:B240,MATCH(MAX(I41:I240),I41:I240,0))</f>
        <v>45509-Twitter</v>
      </c>
    </row>
    <row r="42" spans="1:10">
      <c r="A42" s="15">
        <v>45537</v>
      </c>
      <c r="B42" s="9" t="s">
        <v>27</v>
      </c>
      <c r="C42" s="8">
        <v>1098</v>
      </c>
      <c r="D42" s="8">
        <v>142</v>
      </c>
      <c r="E42" s="8">
        <v>359150</v>
      </c>
      <c r="F42" s="8">
        <v>7.51</v>
      </c>
      <c r="G42" s="8">
        <v>16385</v>
      </c>
      <c r="H42" s="41">
        <f>Engagement_Summary[[#This Row],[Engagement_Rate]]/Engagement_Summary[[#This Row],[Ad_Spend]]*100</f>
        <v>4.5834604821483063E-2</v>
      </c>
      <c r="I42" s="8">
        <f>Engagement_Summary[[#This Row],[New_Followers]]-Engagement_Summary[[#This Row],[Unfollows]]</f>
        <v>956</v>
      </c>
      <c r="J42" s="8" t="str">
        <f>INDEX(Engagement_Summary[Week_Start_Date],MATCH(MAX(I42:I241),I42:I241,0))&amp; "-" &amp; INDEX(B42:B241,MATCH(MAX(I42:I241),I42:I241,0))</f>
        <v>45509-Twitter</v>
      </c>
    </row>
    <row r="43" spans="1:10">
      <c r="A43" s="15">
        <v>45537</v>
      </c>
      <c r="B43" s="9" t="s">
        <v>34</v>
      </c>
      <c r="C43" s="8">
        <v>1096</v>
      </c>
      <c r="D43" s="8">
        <v>65</v>
      </c>
      <c r="E43" s="8">
        <v>358295</v>
      </c>
      <c r="F43" s="8">
        <v>7.66</v>
      </c>
      <c r="G43" s="8">
        <v>24548</v>
      </c>
      <c r="H43" s="41">
        <f>Engagement_Summary[[#This Row],[Engagement_Rate]]/Engagement_Summary[[#This Row],[Ad_Spend]]*100</f>
        <v>3.1204171419260223E-2</v>
      </c>
      <c r="I43" s="8">
        <f>Engagement_Summary[[#This Row],[New_Followers]]-Engagement_Summary[[#This Row],[Unfollows]]</f>
        <v>1031</v>
      </c>
      <c r="J43" s="8" t="str">
        <f>INDEX(Engagement_Summary[Week_Start_Date],MATCH(MAX(I43:I242),I43:I242,0))&amp; "-" &amp; INDEX(B43:B242,MATCH(MAX(I43:I242),I43:I242,0))</f>
        <v>45502-Twitter</v>
      </c>
    </row>
    <row r="44" spans="1:10">
      <c r="A44" s="15">
        <v>45544</v>
      </c>
      <c r="B44" s="9" t="s">
        <v>15</v>
      </c>
      <c r="C44" s="8">
        <v>912</v>
      </c>
      <c r="D44" s="8">
        <v>275</v>
      </c>
      <c r="E44" s="8">
        <v>368454</v>
      </c>
      <c r="F44" s="8">
        <v>6.03</v>
      </c>
      <c r="G44" s="8">
        <v>9195</v>
      </c>
      <c r="H44" s="41">
        <f>Engagement_Summary[[#This Row],[Engagement_Rate]]/Engagement_Summary[[#This Row],[Ad_Spend]]*100</f>
        <v>6.5579119086460039E-2</v>
      </c>
      <c r="I44" s="8">
        <f>Engagement_Summary[[#This Row],[New_Followers]]-Engagement_Summary[[#This Row],[Unfollows]]</f>
        <v>637</v>
      </c>
      <c r="J44" s="8" t="str">
        <f>INDEX(Engagement_Summary[Week_Start_Date],MATCH(MAX(I44:I243),I44:I243,0))&amp; "-" &amp; INDEX(B44:B243,MATCH(MAX(I44:I243),I44:I243,0))</f>
        <v>45502-Twitter</v>
      </c>
    </row>
    <row r="45" spans="1:10">
      <c r="A45" s="15">
        <v>45544</v>
      </c>
      <c r="B45" s="9" t="s">
        <v>27</v>
      </c>
      <c r="C45" s="8">
        <v>1430</v>
      </c>
      <c r="D45" s="8">
        <v>162</v>
      </c>
      <c r="E45" s="8">
        <v>269082</v>
      </c>
      <c r="F45" s="8">
        <v>3.4</v>
      </c>
      <c r="G45" s="8">
        <v>18071</v>
      </c>
      <c r="H45" s="41">
        <f>Engagement_Summary[[#This Row],[Engagement_Rate]]/Engagement_Summary[[#This Row],[Ad_Spend]]*100</f>
        <v>1.881467544684854E-2</v>
      </c>
      <c r="I45" s="8">
        <f>Engagement_Summary[[#This Row],[New_Followers]]-Engagement_Summary[[#This Row],[Unfollows]]</f>
        <v>1268</v>
      </c>
      <c r="J45" s="8" t="str">
        <f>INDEX(Engagement_Summary[Week_Start_Date],MATCH(MAX(I45:I244),I45:I244,0))&amp; "-" &amp; INDEX(B45:B244,MATCH(MAX(I45:I244),I45:I244,0))</f>
        <v>45502-Twitter</v>
      </c>
    </row>
    <row r="46" spans="1:10">
      <c r="A46" s="15">
        <v>45544</v>
      </c>
      <c r="B46" s="9" t="s">
        <v>34</v>
      </c>
      <c r="C46" s="8">
        <v>854</v>
      </c>
      <c r="D46" s="8">
        <v>129</v>
      </c>
      <c r="E46" s="8">
        <v>310903</v>
      </c>
      <c r="F46" s="8">
        <v>7.83</v>
      </c>
      <c r="G46" s="8">
        <v>16875</v>
      </c>
      <c r="H46" s="41">
        <f>Engagement_Summary[[#This Row],[Engagement_Rate]]/Engagement_Summary[[#This Row],[Ad_Spend]]*100</f>
        <v>4.6399999999999997E-2</v>
      </c>
      <c r="I46" s="8">
        <f>Engagement_Summary[[#This Row],[New_Followers]]-Engagement_Summary[[#This Row],[Unfollows]]</f>
        <v>725</v>
      </c>
      <c r="J46" s="8" t="str">
        <f>INDEX(Engagement_Summary[Week_Start_Date],MATCH(MAX(I46:I245),I46:I245,0))&amp; "-" &amp; INDEX(B46:B245,MATCH(MAX(I46:I245),I46:I245,0))</f>
        <v>45495-Twitter</v>
      </c>
    </row>
    <row r="47" spans="1:10">
      <c r="A47" s="15">
        <v>45551</v>
      </c>
      <c r="B47" s="9" t="s">
        <v>15</v>
      </c>
      <c r="C47" s="8">
        <v>681</v>
      </c>
      <c r="D47" s="8">
        <v>210</v>
      </c>
      <c r="E47" s="8">
        <v>248581</v>
      </c>
      <c r="F47" s="8">
        <v>8.76</v>
      </c>
      <c r="G47" s="8">
        <v>9567</v>
      </c>
      <c r="H47" s="41">
        <f>Engagement_Summary[[#This Row],[Engagement_Rate]]/Engagement_Summary[[#This Row],[Ad_Spend]]*100</f>
        <v>9.1564753841329574E-2</v>
      </c>
      <c r="I47" s="8">
        <f>Engagement_Summary[[#This Row],[New_Followers]]-Engagement_Summary[[#This Row],[Unfollows]]</f>
        <v>471</v>
      </c>
      <c r="J47" s="8" t="str">
        <f>INDEX(Engagement_Summary[Week_Start_Date],MATCH(MAX(I47:I246),I47:I246,0))&amp; "-" &amp; INDEX(B47:B246,MATCH(MAX(I47:I246),I47:I246,0))</f>
        <v>45495-Twitter</v>
      </c>
    </row>
    <row r="48" spans="1:10">
      <c r="A48" s="15">
        <v>45551</v>
      </c>
      <c r="B48" s="9" t="s">
        <v>27</v>
      </c>
      <c r="C48" s="8">
        <v>1373</v>
      </c>
      <c r="D48" s="8">
        <v>82</v>
      </c>
      <c r="E48" s="8">
        <v>371015</v>
      </c>
      <c r="F48" s="8">
        <v>9.52</v>
      </c>
      <c r="G48" s="8">
        <v>20306</v>
      </c>
      <c r="H48" s="41">
        <f>Engagement_Summary[[#This Row],[Engagement_Rate]]/Engagement_Summary[[#This Row],[Ad_Spend]]*100</f>
        <v>4.6882694770018711E-2</v>
      </c>
      <c r="I48" s="8">
        <f>Engagement_Summary[[#This Row],[New_Followers]]-Engagement_Summary[[#This Row],[Unfollows]]</f>
        <v>1291</v>
      </c>
      <c r="J48" s="8" t="str">
        <f>INDEX(Engagement_Summary[Week_Start_Date],MATCH(MAX(I48:I247),I48:I247,0))&amp; "-" &amp; INDEX(B48:B247,MATCH(MAX(I48:I247),I48:I247,0))</f>
        <v>45495-Twitter</v>
      </c>
    </row>
    <row r="49" spans="1:10">
      <c r="A49" s="15">
        <v>45551</v>
      </c>
      <c r="B49" s="9" t="s">
        <v>34</v>
      </c>
      <c r="C49" s="8">
        <v>685</v>
      </c>
      <c r="D49" s="8">
        <v>285</v>
      </c>
      <c r="E49" s="8">
        <v>177452</v>
      </c>
      <c r="F49" s="8">
        <v>3.36</v>
      </c>
      <c r="G49" s="8">
        <v>21134</v>
      </c>
      <c r="H49" s="41">
        <f>Engagement_Summary[[#This Row],[Engagement_Rate]]/Engagement_Summary[[#This Row],[Ad_Spend]]*100</f>
        <v>1.5898552096148384E-2</v>
      </c>
      <c r="I49" s="8">
        <f>Engagement_Summary[[#This Row],[New_Followers]]-Engagement_Summary[[#This Row],[Unfollows]]</f>
        <v>400</v>
      </c>
      <c r="J49" s="8" t="str">
        <f>INDEX(Engagement_Summary[Week_Start_Date],MATCH(MAX(I49:I248),I49:I248,0))&amp; "-" &amp; INDEX(B49:B248,MATCH(MAX(I49:I248),I49:I248,0))</f>
        <v>45488-Twitter</v>
      </c>
    </row>
    <row r="50" spans="1:10">
      <c r="A50" s="15">
        <v>45558</v>
      </c>
      <c r="B50" s="9" t="s">
        <v>15</v>
      </c>
      <c r="C50" s="8">
        <v>1290</v>
      </c>
      <c r="D50" s="8">
        <v>177</v>
      </c>
      <c r="E50" s="8">
        <v>80745</v>
      </c>
      <c r="F50" s="8">
        <v>9.2200000000000006</v>
      </c>
      <c r="G50" s="8">
        <v>26872</v>
      </c>
      <c r="H50" s="41">
        <f>Engagement_Summary[[#This Row],[Engagement_Rate]]/Engagement_Summary[[#This Row],[Ad_Spend]]*100</f>
        <v>3.4310806787734446E-2</v>
      </c>
      <c r="I50" s="8">
        <f>Engagement_Summary[[#This Row],[New_Followers]]-Engagement_Summary[[#This Row],[Unfollows]]</f>
        <v>1113</v>
      </c>
      <c r="J50" s="8" t="str">
        <f>INDEX(Engagement_Summary[Week_Start_Date],MATCH(MAX(I50:I249),I50:I249,0))&amp; "-" &amp; INDEX(B50:B249,MATCH(MAX(I50:I249),I50:I249,0))</f>
        <v>45488-Twitter</v>
      </c>
    </row>
    <row r="51" spans="1:10">
      <c r="A51" s="15">
        <v>45558</v>
      </c>
      <c r="B51" s="9" t="s">
        <v>27</v>
      </c>
      <c r="C51" s="8">
        <v>1437</v>
      </c>
      <c r="D51" s="8">
        <v>239</v>
      </c>
      <c r="E51" s="8">
        <v>362441</v>
      </c>
      <c r="F51" s="8">
        <v>5.57</v>
      </c>
      <c r="G51" s="8">
        <v>10253</v>
      </c>
      <c r="H51" s="41">
        <f>Engagement_Summary[[#This Row],[Engagement_Rate]]/Engagement_Summary[[#This Row],[Ad_Spend]]*100</f>
        <v>5.4325563249780551E-2</v>
      </c>
      <c r="I51" s="8">
        <f>Engagement_Summary[[#This Row],[New_Followers]]-Engagement_Summary[[#This Row],[Unfollows]]</f>
        <v>1198</v>
      </c>
      <c r="J51" s="8" t="str">
        <f>INDEX(Engagement_Summary[Week_Start_Date],MATCH(MAX(I51:I250),I51:I250,0))&amp; "-" &amp; INDEX(B51:B250,MATCH(MAX(I51:I250),I51:I250,0))</f>
        <v>45488-Twitter</v>
      </c>
    </row>
    <row r="52" spans="1:10">
      <c r="A52" s="15">
        <v>45558</v>
      </c>
      <c r="B52" s="9" t="s">
        <v>34</v>
      </c>
      <c r="C52" s="8">
        <v>769</v>
      </c>
      <c r="D52" s="8">
        <v>295</v>
      </c>
      <c r="E52" s="8">
        <v>344771</v>
      </c>
      <c r="F52" s="8">
        <v>8.06</v>
      </c>
      <c r="G52" s="8">
        <v>23963</v>
      </c>
      <c r="H52" s="41">
        <f>Engagement_Summary[[#This Row],[Engagement_Rate]]/Engagement_Summary[[#This Row],[Ad_Spend]]*100</f>
        <v>3.363518758085382E-2</v>
      </c>
      <c r="I52" s="8">
        <f>Engagement_Summary[[#This Row],[New_Followers]]-Engagement_Summary[[#This Row],[Unfollows]]</f>
        <v>474</v>
      </c>
      <c r="J52" s="8" t="str">
        <f>INDEX(Engagement_Summary[Week_Start_Date],MATCH(MAX(I52:I251),I52:I251,0))&amp; "-" &amp; INDEX(B52:B251,MATCH(MAX(I52:I251),I52:I251,0))</f>
        <v>45481-Twitter</v>
      </c>
    </row>
    <row r="53" spans="1:10">
      <c r="A53" s="15">
        <v>45565</v>
      </c>
      <c r="B53" s="9" t="s">
        <v>15</v>
      </c>
      <c r="C53" s="8">
        <v>1416</v>
      </c>
      <c r="D53" s="8">
        <v>284</v>
      </c>
      <c r="E53" s="8">
        <v>374952</v>
      </c>
      <c r="F53" s="8">
        <v>3.45</v>
      </c>
      <c r="G53" s="8">
        <v>11335</v>
      </c>
      <c r="H53" s="41">
        <f>Engagement_Summary[[#This Row],[Engagement_Rate]]/Engagement_Summary[[#This Row],[Ad_Spend]]*100</f>
        <v>3.0436700485222762E-2</v>
      </c>
      <c r="I53" s="8">
        <f>Engagement_Summary[[#This Row],[New_Followers]]-Engagement_Summary[[#This Row],[Unfollows]]</f>
        <v>1132</v>
      </c>
      <c r="J53" s="8" t="str">
        <f>INDEX(Engagement_Summary[Week_Start_Date],MATCH(MAX(I53:I252),I53:I252,0))&amp; "-" &amp; INDEX(B53:B252,MATCH(MAX(I53:I252),I53:I252,0))</f>
        <v>45481-Twitter</v>
      </c>
    </row>
    <row r="54" spans="1:10">
      <c r="A54" s="15">
        <v>45565</v>
      </c>
      <c r="B54" s="9" t="s">
        <v>27</v>
      </c>
      <c r="C54" s="8">
        <v>998</v>
      </c>
      <c r="D54" s="8">
        <v>154</v>
      </c>
      <c r="E54" s="8">
        <v>179781</v>
      </c>
      <c r="F54" s="8">
        <v>9.58</v>
      </c>
      <c r="G54" s="8">
        <v>12115</v>
      </c>
      <c r="H54" s="41">
        <f>Engagement_Summary[[#This Row],[Engagement_Rate]]/Engagement_Summary[[#This Row],[Ad_Spend]]*100</f>
        <v>7.9075526207181182E-2</v>
      </c>
      <c r="I54" s="8">
        <f>Engagement_Summary[[#This Row],[New_Followers]]-Engagement_Summary[[#This Row],[Unfollows]]</f>
        <v>844</v>
      </c>
      <c r="J54" s="8" t="str">
        <f>INDEX(Engagement_Summary[Week_Start_Date],MATCH(MAX(I54:I253),I54:I253,0))&amp; "-" &amp; INDEX(B54:B253,MATCH(MAX(I54:I253),I54:I253,0))</f>
        <v>45481-Twitter</v>
      </c>
    </row>
    <row r="55" spans="1:10">
      <c r="A55" s="15">
        <v>45565</v>
      </c>
      <c r="B55" s="9" t="s">
        <v>34</v>
      </c>
      <c r="C55" s="8">
        <v>1421</v>
      </c>
      <c r="D55" s="8">
        <v>246</v>
      </c>
      <c r="E55" s="8">
        <v>358581</v>
      </c>
      <c r="F55" s="8">
        <v>8.8800000000000008</v>
      </c>
      <c r="G55" s="8">
        <v>24358</v>
      </c>
      <c r="H55" s="41">
        <f>Engagement_Summary[[#This Row],[Engagement_Rate]]/Engagement_Summary[[#This Row],[Ad_Spend]]*100</f>
        <v>3.6456195089908862E-2</v>
      </c>
      <c r="I55" s="8">
        <f>Engagement_Summary[[#This Row],[New_Followers]]-Engagement_Summary[[#This Row],[Unfollows]]</f>
        <v>1175</v>
      </c>
      <c r="J55" s="8" t="str">
        <f>INDEX(Engagement_Summary[Week_Start_Date],MATCH(MAX(I55:I254),I55:I254,0))&amp; "-" &amp; INDEX(B55:B254,MATCH(MAX(I55:I254),I55:I254,0))</f>
        <v>45474-Twitter</v>
      </c>
    </row>
    <row r="56" spans="1:10">
      <c r="A56" s="15">
        <v>45572</v>
      </c>
      <c r="B56" s="9" t="s">
        <v>15</v>
      </c>
      <c r="C56" s="8">
        <v>764</v>
      </c>
      <c r="D56" s="8">
        <v>205</v>
      </c>
      <c r="E56" s="8">
        <v>319294</v>
      </c>
      <c r="F56" s="8">
        <v>6.23</v>
      </c>
      <c r="G56" s="8">
        <v>12181</v>
      </c>
      <c r="H56" s="41">
        <f>Engagement_Summary[[#This Row],[Engagement_Rate]]/Engagement_Summary[[#This Row],[Ad_Spend]]*100</f>
        <v>5.1145226171907067E-2</v>
      </c>
      <c r="I56" s="8">
        <f>Engagement_Summary[[#This Row],[New_Followers]]-Engagement_Summary[[#This Row],[Unfollows]]</f>
        <v>559</v>
      </c>
      <c r="J56" s="8" t="str">
        <f>INDEX(Engagement_Summary[Week_Start_Date],MATCH(MAX(I56:I255),I56:I255,0))&amp; "-" &amp; INDEX(B56:B255,MATCH(MAX(I56:I255),I56:I255,0))</f>
        <v>45474-Twitter</v>
      </c>
    </row>
    <row r="57" spans="1:10">
      <c r="A57" s="15">
        <v>45572</v>
      </c>
      <c r="B57" s="9" t="s">
        <v>27</v>
      </c>
      <c r="C57" s="8">
        <v>678</v>
      </c>
      <c r="D57" s="8">
        <v>124</v>
      </c>
      <c r="E57" s="8">
        <v>192022</v>
      </c>
      <c r="F57" s="8">
        <v>8.4499999999999993</v>
      </c>
      <c r="G57" s="8">
        <v>17729</v>
      </c>
      <c r="H57" s="41">
        <f>Engagement_Summary[[#This Row],[Engagement_Rate]]/Engagement_Summary[[#This Row],[Ad_Spend]]*100</f>
        <v>4.7662022674713742E-2</v>
      </c>
      <c r="I57" s="8">
        <f>Engagement_Summary[[#This Row],[New_Followers]]-Engagement_Summary[[#This Row],[Unfollows]]</f>
        <v>554</v>
      </c>
      <c r="J57" s="8" t="str">
        <f>INDEX(Engagement_Summary[Week_Start_Date],MATCH(MAX(I57:I256),I57:I256,0))&amp; "-" &amp; INDEX(B57:B256,MATCH(MAX(I57:I256),I57:I256,0))</f>
        <v>45474-Twitter</v>
      </c>
    </row>
    <row r="58" spans="1:10">
      <c r="A58" s="15">
        <v>45572</v>
      </c>
      <c r="B58" s="9" t="s">
        <v>34</v>
      </c>
      <c r="C58" s="8">
        <v>1328</v>
      </c>
      <c r="D58" s="8">
        <v>103</v>
      </c>
      <c r="E58" s="8">
        <v>151462</v>
      </c>
      <c r="F58" s="8">
        <v>8.4</v>
      </c>
      <c r="G58" s="8">
        <v>10881</v>
      </c>
      <c r="H58" s="41">
        <f>Engagement_Summary[[#This Row],[Engagement_Rate]]/Engagement_Summary[[#This Row],[Ad_Spend]]*100</f>
        <v>7.7198786876206238E-2</v>
      </c>
      <c r="I58" s="8">
        <f>Engagement_Summary[[#This Row],[New_Followers]]-Engagement_Summary[[#This Row],[Unfollows]]</f>
        <v>1225</v>
      </c>
      <c r="J58" s="8" t="str">
        <f>INDEX(Engagement_Summary[Week_Start_Date],MATCH(MAX(I58:I257),I58:I257,0))&amp; "-" &amp; INDEX(B58:B257,MATCH(MAX(I58:I257),I58:I257,0))</f>
        <v>45467-Twitter</v>
      </c>
    </row>
    <row r="59" spans="1:10">
      <c r="A59" s="15">
        <v>45579</v>
      </c>
      <c r="B59" s="9" t="s">
        <v>15</v>
      </c>
      <c r="C59" s="8">
        <v>1161</v>
      </c>
      <c r="D59" s="8">
        <v>269</v>
      </c>
      <c r="E59" s="8">
        <v>188193</v>
      </c>
      <c r="F59" s="8">
        <v>7.34</v>
      </c>
      <c r="G59" s="8">
        <v>18576</v>
      </c>
      <c r="H59" s="41">
        <f>Engagement_Summary[[#This Row],[Engagement_Rate]]/Engagement_Summary[[#This Row],[Ad_Spend]]*100</f>
        <v>3.9513350559862187E-2</v>
      </c>
      <c r="I59" s="8">
        <f>Engagement_Summary[[#This Row],[New_Followers]]-Engagement_Summary[[#This Row],[Unfollows]]</f>
        <v>892</v>
      </c>
      <c r="J59" s="8" t="str">
        <f>INDEX(Engagement_Summary[Week_Start_Date],MATCH(MAX(I59:I258),I59:I258,0))&amp; "-" &amp; INDEX(B59:B258,MATCH(MAX(I59:I258),I59:I258,0))</f>
        <v>45467-Twitter</v>
      </c>
    </row>
    <row r="60" spans="1:10">
      <c r="A60" s="15">
        <v>45579</v>
      </c>
      <c r="B60" s="9" t="s">
        <v>27</v>
      </c>
      <c r="C60" s="8">
        <v>588</v>
      </c>
      <c r="D60" s="8">
        <v>52</v>
      </c>
      <c r="E60" s="8">
        <v>292040</v>
      </c>
      <c r="F60" s="8">
        <v>8.14</v>
      </c>
      <c r="G60" s="8">
        <v>9383</v>
      </c>
      <c r="H60" s="41">
        <f>Engagement_Summary[[#This Row],[Engagement_Rate]]/Engagement_Summary[[#This Row],[Ad_Spend]]*100</f>
        <v>8.6752637749120759E-2</v>
      </c>
      <c r="I60" s="8">
        <f>Engagement_Summary[[#This Row],[New_Followers]]-Engagement_Summary[[#This Row],[Unfollows]]</f>
        <v>536</v>
      </c>
      <c r="J60" s="8" t="str">
        <f>INDEX(Engagement_Summary[Week_Start_Date],MATCH(MAX(I60:I259),I60:I259,0))&amp; "-" &amp; INDEX(B60:B259,MATCH(MAX(I60:I259),I60:I259,0))</f>
        <v>45467-Twitter</v>
      </c>
    </row>
    <row r="61" spans="1:10">
      <c r="A61" s="15">
        <v>45579</v>
      </c>
      <c r="B61" s="9" t="s">
        <v>34</v>
      </c>
      <c r="C61" s="8">
        <v>1457</v>
      </c>
      <c r="D61" s="8">
        <v>215</v>
      </c>
      <c r="E61" s="8">
        <v>325325</v>
      </c>
      <c r="F61" s="8">
        <v>9.58</v>
      </c>
      <c r="G61" s="8">
        <v>14178</v>
      </c>
      <c r="H61" s="41">
        <f>Engagement_Summary[[#This Row],[Engagement_Rate]]/Engagement_Summary[[#This Row],[Ad_Spend]]*100</f>
        <v>6.7569473832698554E-2</v>
      </c>
      <c r="I61" s="8">
        <f>Engagement_Summary[[#This Row],[New_Followers]]-Engagement_Summary[[#This Row],[Unfollows]]</f>
        <v>1242</v>
      </c>
      <c r="J61" s="8" t="str">
        <f>INDEX(Engagement_Summary[Week_Start_Date],MATCH(MAX(I61:I260),I61:I260,0))&amp; "-" &amp; INDEX(B61:B260,MATCH(MAX(I61:I260),I61:I260,0))</f>
        <v>45460-Twitter</v>
      </c>
    </row>
    <row r="62" spans="1:10">
      <c r="A62" s="15">
        <v>45586</v>
      </c>
      <c r="B62" s="9" t="s">
        <v>15</v>
      </c>
      <c r="C62" s="8">
        <v>1190</v>
      </c>
      <c r="D62" s="8">
        <v>242</v>
      </c>
      <c r="E62" s="8">
        <v>86849</v>
      </c>
      <c r="F62" s="8">
        <v>8.06</v>
      </c>
      <c r="G62" s="8">
        <v>21254</v>
      </c>
      <c r="H62" s="41">
        <f>Engagement_Summary[[#This Row],[Engagement_Rate]]/Engagement_Summary[[#This Row],[Ad_Spend]]*100</f>
        <v>3.7922273454408587E-2</v>
      </c>
      <c r="I62" s="8">
        <f>Engagement_Summary[[#This Row],[New_Followers]]-Engagement_Summary[[#This Row],[Unfollows]]</f>
        <v>948</v>
      </c>
      <c r="J62" s="8" t="str">
        <f>INDEX(Engagement_Summary[Week_Start_Date],MATCH(MAX(I62:I261),I62:I261,0))&amp; "-" &amp; INDEX(B62:B261,MATCH(MAX(I62:I261),I62:I261,0))</f>
        <v>45460-Twitter</v>
      </c>
    </row>
    <row r="63" spans="1:10">
      <c r="A63" s="15">
        <v>45586</v>
      </c>
      <c r="B63" s="9" t="s">
        <v>27</v>
      </c>
      <c r="C63" s="8">
        <v>886</v>
      </c>
      <c r="D63" s="8">
        <v>124</v>
      </c>
      <c r="E63" s="8">
        <v>141161</v>
      </c>
      <c r="F63" s="8">
        <v>8.19</v>
      </c>
      <c r="G63" s="8">
        <v>14215</v>
      </c>
      <c r="H63" s="41">
        <f>Engagement_Summary[[#This Row],[Engagement_Rate]]/Engagement_Summary[[#This Row],[Ad_Spend]]*100</f>
        <v>5.7615195216320789E-2</v>
      </c>
      <c r="I63" s="8">
        <f>Engagement_Summary[[#This Row],[New_Followers]]-Engagement_Summary[[#This Row],[Unfollows]]</f>
        <v>762</v>
      </c>
      <c r="J63" s="8" t="str">
        <f>INDEX(Engagement_Summary[Week_Start_Date],MATCH(MAX(I63:I262),I63:I262,0))&amp; "-" &amp; INDEX(B63:B262,MATCH(MAX(I63:I262),I63:I262,0))</f>
        <v>45460-Twitter</v>
      </c>
    </row>
    <row r="64" spans="1:10">
      <c r="A64" s="15">
        <v>45586</v>
      </c>
      <c r="B64" s="9" t="s">
        <v>34</v>
      </c>
      <c r="C64" s="8">
        <v>1237</v>
      </c>
      <c r="D64" s="8">
        <v>155</v>
      </c>
      <c r="E64" s="8">
        <v>149916</v>
      </c>
      <c r="F64" s="8">
        <v>4.4800000000000004</v>
      </c>
      <c r="G64" s="8">
        <v>16921</v>
      </c>
      <c r="H64" s="41">
        <f>Engagement_Summary[[#This Row],[Engagement_Rate]]/Engagement_Summary[[#This Row],[Ad_Spend]]*100</f>
        <v>2.6475976597127832E-2</v>
      </c>
      <c r="I64" s="8">
        <f>Engagement_Summary[[#This Row],[New_Followers]]-Engagement_Summary[[#This Row],[Unfollows]]</f>
        <v>1082</v>
      </c>
      <c r="J64" s="8" t="str">
        <f>INDEX(Engagement_Summary[Week_Start_Date],MATCH(MAX(I64:I263),I64:I263,0))&amp; "-" &amp; INDEX(B64:B263,MATCH(MAX(I64:I263),I64:I263,0))</f>
        <v>45453-Twitter</v>
      </c>
    </row>
    <row r="65" spans="1:10">
      <c r="A65" s="15">
        <v>45593</v>
      </c>
      <c r="B65" s="9" t="s">
        <v>15</v>
      </c>
      <c r="C65" s="8">
        <v>1435</v>
      </c>
      <c r="D65" s="8">
        <v>261</v>
      </c>
      <c r="E65" s="8">
        <v>308533</v>
      </c>
      <c r="F65" s="8">
        <v>4.5199999999999996</v>
      </c>
      <c r="G65" s="8">
        <v>25130</v>
      </c>
      <c r="H65" s="41">
        <f>Engagement_Summary[[#This Row],[Engagement_Rate]]/Engagement_Summary[[#This Row],[Ad_Spend]]*100</f>
        <v>1.7986470354158374E-2</v>
      </c>
      <c r="I65" s="8">
        <f>Engagement_Summary[[#This Row],[New_Followers]]-Engagement_Summary[[#This Row],[Unfollows]]</f>
        <v>1174</v>
      </c>
      <c r="J65" s="8" t="str">
        <f>INDEX(Engagement_Summary[Week_Start_Date],MATCH(MAX(I65:I264),I65:I264,0))&amp; "-" &amp; INDEX(B65:B264,MATCH(MAX(I65:I264),I65:I264,0))</f>
        <v>45453-Twitter</v>
      </c>
    </row>
    <row r="66" spans="1:10">
      <c r="A66" s="15">
        <v>45593</v>
      </c>
      <c r="B66" s="9" t="s">
        <v>27</v>
      </c>
      <c r="C66" s="8">
        <v>746</v>
      </c>
      <c r="D66" s="8">
        <v>282</v>
      </c>
      <c r="E66" s="8">
        <v>293894</v>
      </c>
      <c r="F66" s="8">
        <v>5.42</v>
      </c>
      <c r="G66" s="8">
        <v>25537</v>
      </c>
      <c r="H66" s="41">
        <f>Engagement_Summary[[#This Row],[Engagement_Rate]]/Engagement_Summary[[#This Row],[Ad_Spend]]*100</f>
        <v>2.1224106198848729E-2</v>
      </c>
      <c r="I66" s="8">
        <f>Engagement_Summary[[#This Row],[New_Followers]]-Engagement_Summary[[#This Row],[Unfollows]]</f>
        <v>464</v>
      </c>
      <c r="J66" s="8" t="str">
        <f>INDEX(Engagement_Summary[Week_Start_Date],MATCH(MAX(I66:I265),I66:I265,0))&amp; "-" &amp; INDEX(B66:B265,MATCH(MAX(I66:I265),I66:I265,0))</f>
        <v>45453-Twitter</v>
      </c>
    </row>
    <row r="67" spans="1:10">
      <c r="A67" s="15">
        <v>45593</v>
      </c>
      <c r="B67" s="9" t="s">
        <v>34</v>
      </c>
      <c r="C67" s="8">
        <v>759</v>
      </c>
      <c r="D67" s="8">
        <v>216</v>
      </c>
      <c r="E67" s="8">
        <v>147656</v>
      </c>
      <c r="F67" s="8">
        <v>4.08</v>
      </c>
      <c r="G67" s="8">
        <v>24943</v>
      </c>
      <c r="H67" s="41">
        <f>Engagement_Summary[[#This Row],[Engagement_Rate]]/Engagement_Summary[[#This Row],[Ad_Spend]]*100</f>
        <v>1.6357294631760416E-2</v>
      </c>
      <c r="I67" s="8">
        <f>Engagement_Summary[[#This Row],[New_Followers]]-Engagement_Summary[[#This Row],[Unfollows]]</f>
        <v>543</v>
      </c>
      <c r="J67" s="8" t="str">
        <f>INDEX(Engagement_Summary[Week_Start_Date],MATCH(MAX(I67:I266),I67:I266,0))&amp; "-" &amp; INDEX(B67:B266,MATCH(MAX(I67:I266),I67:I266,0))</f>
        <v>45446-Twitter</v>
      </c>
    </row>
    <row r="68" spans="1:10">
      <c r="A68" s="15">
        <v>45600</v>
      </c>
      <c r="B68" s="9" t="s">
        <v>15</v>
      </c>
      <c r="C68" s="8">
        <v>1437</v>
      </c>
      <c r="D68" s="8">
        <v>235</v>
      </c>
      <c r="E68" s="8">
        <v>326791</v>
      </c>
      <c r="F68" s="8">
        <v>4.0599999999999996</v>
      </c>
      <c r="G68" s="8">
        <v>14563</v>
      </c>
      <c r="H68" s="41">
        <f>Engagement_Summary[[#This Row],[Engagement_Rate]]/Engagement_Summary[[#This Row],[Ad_Spend]]*100</f>
        <v>2.7878871111721482E-2</v>
      </c>
      <c r="I68" s="8">
        <f>Engagement_Summary[[#This Row],[New_Followers]]-Engagement_Summary[[#This Row],[Unfollows]]</f>
        <v>1202</v>
      </c>
      <c r="J68" s="8" t="str">
        <f>INDEX(Engagement_Summary[Week_Start_Date],MATCH(MAX(I68:I267),I68:I267,0))&amp; "-" &amp; INDEX(B68:B267,MATCH(MAX(I68:I267),I68:I267,0))</f>
        <v>45446-Twitter</v>
      </c>
    </row>
    <row r="69" spans="1:10">
      <c r="A69" s="15">
        <v>45600</v>
      </c>
      <c r="B69" s="9" t="s">
        <v>27</v>
      </c>
      <c r="C69" s="8">
        <v>1463</v>
      </c>
      <c r="D69" s="8">
        <v>73</v>
      </c>
      <c r="E69" s="8">
        <v>348877</v>
      </c>
      <c r="F69" s="8">
        <v>9.91</v>
      </c>
      <c r="G69" s="8">
        <v>26273</v>
      </c>
      <c r="H69" s="41">
        <f>Engagement_Summary[[#This Row],[Engagement_Rate]]/Engagement_Summary[[#This Row],[Ad_Spend]]*100</f>
        <v>3.7719331633235639E-2</v>
      </c>
      <c r="I69" s="8">
        <f>Engagement_Summary[[#This Row],[New_Followers]]-Engagement_Summary[[#This Row],[Unfollows]]</f>
        <v>1390</v>
      </c>
      <c r="J69" s="8" t="str">
        <f>INDEX(Engagement_Summary[Week_Start_Date],MATCH(MAX(I69:I268),I69:I268,0))&amp; "-" &amp; INDEX(B69:B268,MATCH(MAX(I69:I268),I69:I268,0))</f>
        <v>45446-Twitter</v>
      </c>
    </row>
    <row r="70" spans="1:10">
      <c r="A70" s="15">
        <v>45600</v>
      </c>
      <c r="B70" s="9" t="s">
        <v>34</v>
      </c>
      <c r="C70" s="8">
        <v>1208</v>
      </c>
      <c r="D70" s="8">
        <v>224</v>
      </c>
      <c r="E70" s="8">
        <v>122730</v>
      </c>
      <c r="F70" s="8">
        <v>8.7200000000000006</v>
      </c>
      <c r="G70" s="8">
        <v>10858</v>
      </c>
      <c r="H70" s="41">
        <f>Engagement_Summary[[#This Row],[Engagement_Rate]]/Engagement_Summary[[#This Row],[Ad_Spend]]*100</f>
        <v>8.0309449254006279E-2</v>
      </c>
      <c r="I70" s="8">
        <f>Engagement_Summary[[#This Row],[New_Followers]]-Engagement_Summary[[#This Row],[Unfollows]]</f>
        <v>984</v>
      </c>
      <c r="J70" s="8" t="str">
        <f>INDEX(Engagement_Summary[Week_Start_Date],MATCH(MAX(I70:I269),I70:I269,0))&amp; "-" &amp; INDEX(B70:B269,MATCH(MAX(I70:I269),I70:I269,0))</f>
        <v>45495-Twitter</v>
      </c>
    </row>
    <row r="71" spans="1:10">
      <c r="A71" s="15">
        <v>45607</v>
      </c>
      <c r="B71" s="9" t="s">
        <v>15</v>
      </c>
      <c r="C71" s="8">
        <v>1391</v>
      </c>
      <c r="D71" s="8">
        <v>187</v>
      </c>
      <c r="E71" s="8">
        <v>306508</v>
      </c>
      <c r="F71" s="8">
        <v>8.3800000000000008</v>
      </c>
      <c r="G71" s="8">
        <v>25038</v>
      </c>
      <c r="H71" s="41">
        <f>Engagement_Summary[[#This Row],[Engagement_Rate]]/Engagement_Summary[[#This Row],[Ad_Spend]]*100</f>
        <v>3.3469126927070859E-2</v>
      </c>
      <c r="I71" s="8">
        <f>Engagement_Summary[[#This Row],[New_Followers]]-Engagement_Summary[[#This Row],[Unfollows]]</f>
        <v>1204</v>
      </c>
      <c r="J71" s="8" t="str">
        <f>INDEX(Engagement_Summary[Week_Start_Date],MATCH(MAX(I71:I270),I71:I270,0))&amp; "-" &amp; INDEX(B71:B270,MATCH(MAX(I71:I270),I71:I270,0))</f>
        <v>45495-Twitter</v>
      </c>
    </row>
    <row r="72" spans="1:10">
      <c r="A72" s="15">
        <v>45607</v>
      </c>
      <c r="B72" s="9" t="s">
        <v>27</v>
      </c>
      <c r="C72" s="8">
        <v>655</v>
      </c>
      <c r="D72" s="8">
        <v>123</v>
      </c>
      <c r="E72" s="8">
        <v>202472</v>
      </c>
      <c r="F72" s="8">
        <v>7.56</v>
      </c>
      <c r="G72" s="8">
        <v>9092</v>
      </c>
      <c r="H72" s="41">
        <f>Engagement_Summary[[#This Row],[Engagement_Rate]]/Engagement_Summary[[#This Row],[Ad_Spend]]*100</f>
        <v>8.315002199736031E-2</v>
      </c>
      <c r="I72" s="8">
        <f>Engagement_Summary[[#This Row],[New_Followers]]-Engagement_Summary[[#This Row],[Unfollows]]</f>
        <v>532</v>
      </c>
      <c r="J72" s="8" t="str">
        <f>INDEX(Engagement_Summary[Week_Start_Date],MATCH(MAX(I72:I271),I72:I271,0))&amp; "-" &amp; INDEX(B72:B271,MATCH(MAX(I72:I271),I72:I271,0))</f>
        <v>45495-Twitter</v>
      </c>
    </row>
    <row r="73" spans="1:10">
      <c r="A73" s="15">
        <v>45607</v>
      </c>
      <c r="B73" s="9" t="s">
        <v>34</v>
      </c>
      <c r="C73" s="8">
        <v>1148</v>
      </c>
      <c r="D73" s="8">
        <v>90</v>
      </c>
      <c r="E73" s="8">
        <v>227249</v>
      </c>
      <c r="F73" s="8">
        <v>7.24</v>
      </c>
      <c r="G73" s="8">
        <v>17662</v>
      </c>
      <c r="H73" s="41">
        <f>Engagement_Summary[[#This Row],[Engagement_Rate]]/Engagement_Summary[[#This Row],[Ad_Spend]]*100</f>
        <v>4.0991960140414452E-2</v>
      </c>
      <c r="I73" s="8">
        <f>Engagement_Summary[[#This Row],[New_Followers]]-Engagement_Summary[[#This Row],[Unfollows]]</f>
        <v>1058</v>
      </c>
      <c r="J73" s="8" t="str">
        <f>INDEX(Engagement_Summary[Week_Start_Date],MATCH(MAX(I73:I272),I73:I272,0))&amp; "-" &amp; INDEX(B73:B272,MATCH(MAX(I73:I272),I73:I272,0))</f>
        <v>45488-Twitter</v>
      </c>
    </row>
    <row r="74" spans="1:10">
      <c r="A74" s="15">
        <v>45614</v>
      </c>
      <c r="B74" s="9" t="s">
        <v>15</v>
      </c>
      <c r="C74" s="8">
        <v>946</v>
      </c>
      <c r="D74" s="8">
        <v>270</v>
      </c>
      <c r="E74" s="8">
        <v>246567</v>
      </c>
      <c r="F74" s="8">
        <v>4.53</v>
      </c>
      <c r="G74" s="8">
        <v>5924</v>
      </c>
      <c r="H74" s="41">
        <f>Engagement_Summary[[#This Row],[Engagement_Rate]]/Engagement_Summary[[#This Row],[Ad_Spend]]*100</f>
        <v>7.6468602295746119E-2</v>
      </c>
      <c r="I74" s="8">
        <f>Engagement_Summary[[#This Row],[New_Followers]]-Engagement_Summary[[#This Row],[Unfollows]]</f>
        <v>676</v>
      </c>
      <c r="J74" s="8" t="str">
        <f>INDEX(Engagement_Summary[Week_Start_Date],MATCH(MAX(I74:I273),I74:I273,0))&amp; "-" &amp; INDEX(B74:B273,MATCH(MAX(I74:I273),I74:I273,0))</f>
        <v>45488-Twitter</v>
      </c>
    </row>
    <row r="75" spans="1:10">
      <c r="A75" s="15">
        <v>45614</v>
      </c>
      <c r="B75" s="9" t="s">
        <v>27</v>
      </c>
      <c r="C75" s="8">
        <v>791</v>
      </c>
      <c r="D75" s="8">
        <v>214</v>
      </c>
      <c r="E75" s="8">
        <v>114738</v>
      </c>
      <c r="F75" s="8">
        <v>6.62</v>
      </c>
      <c r="G75" s="8">
        <v>25347</v>
      </c>
      <c r="H75" s="41">
        <f>Engagement_Summary[[#This Row],[Engagement_Rate]]/Engagement_Summary[[#This Row],[Ad_Spend]]*100</f>
        <v>2.6117489249220815E-2</v>
      </c>
      <c r="I75" s="8">
        <f>Engagement_Summary[[#This Row],[New_Followers]]-Engagement_Summary[[#This Row],[Unfollows]]</f>
        <v>577</v>
      </c>
      <c r="J75" s="8" t="str">
        <f>INDEX(Engagement_Summary[Week_Start_Date],MATCH(MAX(I75:I274),I75:I274,0))&amp; "-" &amp; INDEX(B75:B274,MATCH(MAX(I75:I274),I75:I274,0))</f>
        <v>45488-Twitter</v>
      </c>
    </row>
    <row r="76" spans="1:10">
      <c r="A76" s="15">
        <v>45614</v>
      </c>
      <c r="B76" s="9" t="s">
        <v>34</v>
      </c>
      <c r="C76" s="8">
        <v>793</v>
      </c>
      <c r="D76" s="8">
        <v>111</v>
      </c>
      <c r="E76" s="8">
        <v>333500</v>
      </c>
      <c r="F76" s="8">
        <v>6.36</v>
      </c>
      <c r="G76" s="8">
        <v>8910</v>
      </c>
      <c r="H76" s="41">
        <f>Engagement_Summary[[#This Row],[Engagement_Rate]]/Engagement_Summary[[#This Row],[Ad_Spend]]*100</f>
        <v>7.1380471380471391E-2</v>
      </c>
      <c r="I76" s="8">
        <f>Engagement_Summary[[#This Row],[New_Followers]]-Engagement_Summary[[#This Row],[Unfollows]]</f>
        <v>682</v>
      </c>
      <c r="J76" s="8" t="str">
        <f>INDEX(Engagement_Summary[Week_Start_Date],MATCH(MAX(I76:I275),I76:I275,0))&amp; "-" &amp; INDEX(B76:B275,MATCH(MAX(I76:I275),I76:I275,0))</f>
        <v>45481-Twitter</v>
      </c>
    </row>
    <row r="77" spans="1:10">
      <c r="A77" s="15">
        <v>45621</v>
      </c>
      <c r="B77" s="9" t="s">
        <v>15</v>
      </c>
      <c r="C77" s="8">
        <v>663</v>
      </c>
      <c r="D77" s="8">
        <v>213</v>
      </c>
      <c r="E77" s="8">
        <v>352677</v>
      </c>
      <c r="F77" s="8">
        <v>9</v>
      </c>
      <c r="G77" s="8">
        <v>20438</v>
      </c>
      <c r="H77" s="41">
        <f>Engagement_Summary[[#This Row],[Engagement_Rate]]/Engagement_Summary[[#This Row],[Ad_Spend]]*100</f>
        <v>4.4035619923671596E-2</v>
      </c>
      <c r="I77" s="8">
        <f>Engagement_Summary[[#This Row],[New_Followers]]-Engagement_Summary[[#This Row],[Unfollows]]</f>
        <v>450</v>
      </c>
      <c r="J77" s="8" t="str">
        <f>INDEX(Engagement_Summary[Week_Start_Date],MATCH(MAX(I77:I276),I77:I276,0))&amp; "-" &amp; INDEX(B77:B276,MATCH(MAX(I77:I276),I77:I276,0))</f>
        <v>45481-Twitter</v>
      </c>
    </row>
    <row r="78" spans="1:10">
      <c r="A78" s="15">
        <v>45621</v>
      </c>
      <c r="B78" s="9" t="s">
        <v>27</v>
      </c>
      <c r="C78" s="8">
        <v>954</v>
      </c>
      <c r="D78" s="8">
        <v>271</v>
      </c>
      <c r="E78" s="8">
        <v>160936</v>
      </c>
      <c r="F78" s="8">
        <v>8.83</v>
      </c>
      <c r="G78" s="8">
        <v>8760</v>
      </c>
      <c r="H78" s="41">
        <f>Engagement_Summary[[#This Row],[Engagement_Rate]]/Engagement_Summary[[#This Row],[Ad_Spend]]*100</f>
        <v>0.10079908675799086</v>
      </c>
      <c r="I78" s="8">
        <f>Engagement_Summary[[#This Row],[New_Followers]]-Engagement_Summary[[#This Row],[Unfollows]]</f>
        <v>683</v>
      </c>
      <c r="J78" s="8" t="str">
        <f>INDEX(Engagement_Summary[Week_Start_Date],MATCH(MAX(I78:I277),I78:I277,0))&amp; "-" &amp; INDEX(B78:B277,MATCH(MAX(I78:I277),I78:I277,0))</f>
        <v>45481-Twitter</v>
      </c>
    </row>
    <row r="79" spans="1:10">
      <c r="A79" s="15">
        <v>45621</v>
      </c>
      <c r="B79" s="9" t="s">
        <v>34</v>
      </c>
      <c r="C79" s="8">
        <v>1313</v>
      </c>
      <c r="D79" s="8">
        <v>159</v>
      </c>
      <c r="E79" s="8">
        <v>197183</v>
      </c>
      <c r="F79" s="8">
        <v>9.7100000000000009</v>
      </c>
      <c r="G79" s="8">
        <v>6625</v>
      </c>
      <c r="H79" s="41">
        <f>Engagement_Summary[[#This Row],[Engagement_Rate]]/Engagement_Summary[[#This Row],[Ad_Spend]]*100</f>
        <v>0.14656603773584909</v>
      </c>
      <c r="I79" s="8">
        <f>Engagement_Summary[[#This Row],[New_Followers]]-Engagement_Summary[[#This Row],[Unfollows]]</f>
        <v>1154</v>
      </c>
      <c r="J79" s="8" t="str">
        <f>INDEX(Engagement_Summary[Week_Start_Date],MATCH(MAX(I79:I278),I79:I278,0))&amp; "-" &amp; INDEX(B79:B278,MATCH(MAX(I79:I278),I79:I278,0))</f>
        <v>45474-Twitter</v>
      </c>
    </row>
    <row r="80" spans="1:10">
      <c r="A80" s="15">
        <v>45628</v>
      </c>
      <c r="B80" s="9" t="s">
        <v>15</v>
      </c>
      <c r="C80" s="8">
        <v>895</v>
      </c>
      <c r="D80" s="8">
        <v>87</v>
      </c>
      <c r="E80" s="8">
        <v>171271</v>
      </c>
      <c r="F80" s="8">
        <v>6.68</v>
      </c>
      <c r="G80" s="8">
        <v>23329</v>
      </c>
      <c r="H80" s="41">
        <f>Engagement_Summary[[#This Row],[Engagement_Rate]]/Engagement_Summary[[#This Row],[Ad_Spend]]*100</f>
        <v>2.86338891508423E-2</v>
      </c>
      <c r="I80" s="8">
        <f>Engagement_Summary[[#This Row],[New_Followers]]-Engagement_Summary[[#This Row],[Unfollows]]</f>
        <v>808</v>
      </c>
      <c r="J80" s="8" t="str">
        <f>INDEX(Engagement_Summary[Week_Start_Date],MATCH(MAX(I80:I279),I80:I279,0))&amp; "-" &amp; INDEX(B80:B279,MATCH(MAX(I80:I279),I80:I279,0))</f>
        <v>45474-Twitter</v>
      </c>
    </row>
    <row r="81" spans="1:10">
      <c r="A81" s="15">
        <v>45628</v>
      </c>
      <c r="B81" s="9" t="s">
        <v>27</v>
      </c>
      <c r="C81" s="8">
        <v>1027</v>
      </c>
      <c r="D81" s="8">
        <v>156</v>
      </c>
      <c r="E81" s="8">
        <v>111293</v>
      </c>
      <c r="F81" s="8">
        <v>5.51</v>
      </c>
      <c r="G81" s="8">
        <v>7299</v>
      </c>
      <c r="H81" s="41">
        <f>Engagement_Summary[[#This Row],[Engagement_Rate]]/Engagement_Summary[[#This Row],[Ad_Spend]]*100</f>
        <v>7.5489793122345522E-2</v>
      </c>
      <c r="I81" s="8">
        <f>Engagement_Summary[[#This Row],[New_Followers]]-Engagement_Summary[[#This Row],[Unfollows]]</f>
        <v>871</v>
      </c>
      <c r="J81" s="8" t="str">
        <f>INDEX(Engagement_Summary[Week_Start_Date],MATCH(MAX(I81:I280),I81:I280,0))&amp; "-" &amp; INDEX(B81:B280,MATCH(MAX(I81:I280),I81:I280,0))</f>
        <v>45474-Twitter</v>
      </c>
    </row>
    <row r="82" spans="1:10">
      <c r="A82" s="15">
        <v>45628</v>
      </c>
      <c r="B82" s="9" t="s">
        <v>34</v>
      </c>
      <c r="C82" s="8">
        <v>990</v>
      </c>
      <c r="D82" s="8">
        <v>286</v>
      </c>
      <c r="E82" s="8">
        <v>351493</v>
      </c>
      <c r="F82" s="8">
        <v>7.97</v>
      </c>
      <c r="G82" s="8">
        <v>14496</v>
      </c>
      <c r="H82" s="41">
        <f>Engagement_Summary[[#This Row],[Engagement_Rate]]/Engagement_Summary[[#This Row],[Ad_Spend]]*100</f>
        <v>5.498068432671082E-2</v>
      </c>
      <c r="I82" s="8">
        <f>Engagement_Summary[[#This Row],[New_Followers]]-Engagement_Summary[[#This Row],[Unfollows]]</f>
        <v>704</v>
      </c>
      <c r="J82" s="8" t="str">
        <f>INDEX(Engagement_Summary[Week_Start_Date],MATCH(MAX(I82:I281),I82:I281,0))&amp; "-" &amp; INDEX(B82:B281,MATCH(MAX(I82:I281),I82:I281,0))</f>
        <v>45467-Twitter</v>
      </c>
    </row>
    <row r="83" spans="1:10">
      <c r="A83" s="15">
        <v>45635</v>
      </c>
      <c r="B83" s="9" t="s">
        <v>15</v>
      </c>
      <c r="C83" s="8">
        <v>875</v>
      </c>
      <c r="D83" s="8">
        <v>264</v>
      </c>
      <c r="E83" s="8">
        <v>345631</v>
      </c>
      <c r="F83" s="8">
        <v>9.18</v>
      </c>
      <c r="G83" s="8">
        <v>25703</v>
      </c>
      <c r="H83" s="41">
        <f>Engagement_Summary[[#This Row],[Engagement_Rate]]/Engagement_Summary[[#This Row],[Ad_Spend]]*100</f>
        <v>3.5715675213010153E-2</v>
      </c>
      <c r="I83" s="8">
        <f>Engagement_Summary[[#This Row],[New_Followers]]-Engagement_Summary[[#This Row],[Unfollows]]</f>
        <v>611</v>
      </c>
      <c r="J83" s="8" t="str">
        <f>INDEX(Engagement_Summary[Week_Start_Date],MATCH(MAX(I83:I282),I83:I282,0))&amp; "-" &amp; INDEX(B83:B282,MATCH(MAX(I83:I282),I83:I282,0))</f>
        <v>45467-Twitter</v>
      </c>
    </row>
    <row r="84" spans="1:10">
      <c r="A84" s="15">
        <v>45635</v>
      </c>
      <c r="B84" s="9" t="s">
        <v>27</v>
      </c>
      <c r="C84" s="8">
        <v>599</v>
      </c>
      <c r="D84" s="8">
        <v>194</v>
      </c>
      <c r="E84" s="8">
        <v>105622</v>
      </c>
      <c r="F84" s="8">
        <v>6.44</v>
      </c>
      <c r="G84" s="8">
        <v>15108</v>
      </c>
      <c r="H84" s="41">
        <f>Engagement_Summary[[#This Row],[Engagement_Rate]]/Engagement_Summary[[#This Row],[Ad_Spend]]*100</f>
        <v>4.2626423087106173E-2</v>
      </c>
      <c r="I84" s="8">
        <f>Engagement_Summary[[#This Row],[New_Followers]]-Engagement_Summary[[#This Row],[Unfollows]]</f>
        <v>405</v>
      </c>
      <c r="J84" s="8" t="str">
        <f>INDEX(Engagement_Summary[Week_Start_Date],MATCH(MAX(I84:I283),I84:I283,0))&amp; "-" &amp; INDEX(B84:B283,MATCH(MAX(I84:I283),I84:I283,0))</f>
        <v>45467-Twitter</v>
      </c>
    </row>
    <row r="85" spans="1:10">
      <c r="A85" s="15">
        <v>45635</v>
      </c>
      <c r="B85" s="9" t="s">
        <v>34</v>
      </c>
      <c r="C85" s="8">
        <v>630</v>
      </c>
      <c r="D85" s="8">
        <v>248</v>
      </c>
      <c r="E85" s="8">
        <v>119054</v>
      </c>
      <c r="F85" s="8">
        <v>5.0199999999999996</v>
      </c>
      <c r="G85" s="8">
        <v>18867</v>
      </c>
      <c r="H85" s="41">
        <f>Engagement_Summary[[#This Row],[Engagement_Rate]]/Engagement_Summary[[#This Row],[Ad_Spend]]*100</f>
        <v>2.6607303757884133E-2</v>
      </c>
      <c r="I85" s="8">
        <f>Engagement_Summary[[#This Row],[New_Followers]]-Engagement_Summary[[#This Row],[Unfollows]]</f>
        <v>382</v>
      </c>
      <c r="J85" s="8" t="str">
        <f>INDEX(Engagement_Summary[Week_Start_Date],MATCH(MAX(I85:I284),I85:I284,0))&amp; "-" &amp; INDEX(B85:B284,MATCH(MAX(I85:I284),I85:I284,0))</f>
        <v>45460-Twitter</v>
      </c>
    </row>
    <row r="86" spans="1:10">
      <c r="A86" s="15">
        <v>45642</v>
      </c>
      <c r="B86" s="9" t="s">
        <v>15</v>
      </c>
      <c r="C86" s="8">
        <v>1350</v>
      </c>
      <c r="D86" s="8">
        <v>233</v>
      </c>
      <c r="E86" s="8">
        <v>171670</v>
      </c>
      <c r="F86" s="8">
        <v>4.53</v>
      </c>
      <c r="G86" s="8">
        <v>17574</v>
      </c>
      <c r="H86" s="41">
        <f>Engagement_Summary[[#This Row],[Engagement_Rate]]/Engagement_Summary[[#This Row],[Ad_Spend]]*100</f>
        <v>2.5776715602594744E-2</v>
      </c>
      <c r="I86" s="8">
        <f>Engagement_Summary[[#This Row],[New_Followers]]-Engagement_Summary[[#This Row],[Unfollows]]</f>
        <v>1117</v>
      </c>
      <c r="J86" s="8" t="str">
        <f>INDEX(Engagement_Summary[Week_Start_Date],MATCH(MAX(I86:I285),I86:I285,0))&amp; "-" &amp; INDEX(B86:B285,MATCH(MAX(I86:I285),I86:I285,0))</f>
        <v>45460-Twitter</v>
      </c>
    </row>
    <row r="87" spans="1:10">
      <c r="A87" s="15">
        <v>45642</v>
      </c>
      <c r="B87" s="9" t="s">
        <v>27</v>
      </c>
      <c r="C87" s="8">
        <v>632</v>
      </c>
      <c r="D87" s="8">
        <v>155</v>
      </c>
      <c r="E87" s="8">
        <v>170432</v>
      </c>
      <c r="F87" s="8">
        <v>9.17</v>
      </c>
      <c r="G87" s="8">
        <v>12840</v>
      </c>
      <c r="H87" s="41">
        <f>Engagement_Summary[[#This Row],[Engagement_Rate]]/Engagement_Summary[[#This Row],[Ad_Spend]]*100</f>
        <v>7.1417445482866049E-2</v>
      </c>
      <c r="I87" s="8">
        <f>Engagement_Summary[[#This Row],[New_Followers]]-Engagement_Summary[[#This Row],[Unfollows]]</f>
        <v>477</v>
      </c>
      <c r="J87" s="8" t="str">
        <f>INDEX(Engagement_Summary[Week_Start_Date],MATCH(MAX(I87:I286),I87:I286,0))&amp; "-" &amp; INDEX(B87:B286,MATCH(MAX(I87:I286),I87:I286,0))</f>
        <v>45460-Twitter</v>
      </c>
    </row>
    <row r="88" spans="1:10">
      <c r="A88" s="15">
        <v>45642</v>
      </c>
      <c r="B88" s="9" t="s">
        <v>34</v>
      </c>
      <c r="C88" s="8">
        <v>1182</v>
      </c>
      <c r="D88" s="8">
        <v>83</v>
      </c>
      <c r="E88" s="8">
        <v>140300</v>
      </c>
      <c r="F88" s="8">
        <v>3.27</v>
      </c>
      <c r="G88" s="8">
        <v>21079</v>
      </c>
      <c r="H88" s="41">
        <f>Engagement_Summary[[#This Row],[Engagement_Rate]]/Engagement_Summary[[#This Row],[Ad_Spend]]*100</f>
        <v>1.5513069879975331E-2</v>
      </c>
      <c r="I88" s="8">
        <f>Engagement_Summary[[#This Row],[New_Followers]]-Engagement_Summary[[#This Row],[Unfollows]]</f>
        <v>1099</v>
      </c>
      <c r="J88" s="8" t="str">
        <f>INDEX(Engagement_Summary[Week_Start_Date],MATCH(MAX(I88:I287),I88:I287,0))&amp; "-" &amp; INDEX(B88:B287,MATCH(MAX(I88:I287),I88:I287,0))</f>
        <v>45453-Twitter</v>
      </c>
    </row>
    <row r="89" spans="1:10">
      <c r="A89" s="15">
        <v>45649</v>
      </c>
      <c r="B89" s="9" t="s">
        <v>15</v>
      </c>
      <c r="C89" s="8">
        <v>661</v>
      </c>
      <c r="D89" s="8">
        <v>94</v>
      </c>
      <c r="E89" s="8">
        <v>116538</v>
      </c>
      <c r="F89" s="8">
        <v>5.31</v>
      </c>
      <c r="G89" s="8">
        <v>23486</v>
      </c>
      <c r="H89" s="41">
        <f>Engagement_Summary[[#This Row],[Engagement_Rate]]/Engagement_Summary[[#This Row],[Ad_Spend]]*100</f>
        <v>2.2609213999829684E-2</v>
      </c>
      <c r="I89" s="8">
        <f>Engagement_Summary[[#This Row],[New_Followers]]-Engagement_Summary[[#This Row],[Unfollows]]</f>
        <v>567</v>
      </c>
      <c r="J89" s="8" t="str">
        <f>INDEX(Engagement_Summary[Week_Start_Date],MATCH(MAX(I89:I288),I89:I288,0))&amp; "-" &amp; INDEX(B89:B288,MATCH(MAX(I89:I288),I89:I288,0))</f>
        <v>45453-Twitter</v>
      </c>
    </row>
    <row r="90" spans="1:10">
      <c r="A90" s="15">
        <v>45649</v>
      </c>
      <c r="B90" s="9" t="s">
        <v>27</v>
      </c>
      <c r="C90" s="8">
        <v>1360</v>
      </c>
      <c r="D90" s="8">
        <v>227</v>
      </c>
      <c r="E90" s="8">
        <v>176902</v>
      </c>
      <c r="F90" s="8">
        <v>6.03</v>
      </c>
      <c r="G90" s="8">
        <v>5960</v>
      </c>
      <c r="H90" s="41">
        <f>Engagement_Summary[[#This Row],[Engagement_Rate]]/Engagement_Summary[[#This Row],[Ad_Spend]]*100</f>
        <v>0.1011744966442953</v>
      </c>
      <c r="I90" s="8">
        <f>Engagement_Summary[[#This Row],[New_Followers]]-Engagement_Summary[[#This Row],[Unfollows]]</f>
        <v>1133</v>
      </c>
      <c r="J90" s="8" t="str">
        <f>INDEX(Engagement_Summary[Week_Start_Date],MATCH(MAX(I90:I289),I90:I289,0))&amp; "-" &amp; INDEX(B90:B289,MATCH(MAX(I90:I289),I90:I289,0))</f>
        <v>45453-Twitter</v>
      </c>
    </row>
    <row r="91" spans="1:10">
      <c r="A91" s="15">
        <v>45649</v>
      </c>
      <c r="B91" s="9" t="s">
        <v>34</v>
      </c>
      <c r="C91" s="8">
        <v>935</v>
      </c>
      <c r="D91" s="8">
        <v>85</v>
      </c>
      <c r="E91" s="8">
        <v>326821</v>
      </c>
      <c r="F91" s="8">
        <v>8.89</v>
      </c>
      <c r="G91" s="8">
        <v>13301</v>
      </c>
      <c r="H91" s="41">
        <f>Engagement_Summary[[#This Row],[Engagement_Rate]]/Engagement_Summary[[#This Row],[Ad_Spend]]*100</f>
        <v>6.6837079918803097E-2</v>
      </c>
      <c r="I91" s="8">
        <f>Engagement_Summary[[#This Row],[New_Followers]]-Engagement_Summary[[#This Row],[Unfollows]]</f>
        <v>850</v>
      </c>
      <c r="J91" s="8" t="str">
        <f>INDEX(Engagement_Summary[Week_Start_Date],MATCH(MAX(I91:I290),I91:I290,0))&amp; "-" &amp; INDEX(B91:B290,MATCH(MAX(I91:I290),I91:I290,0))</f>
        <v>45446-Twitter</v>
      </c>
    </row>
    <row r="92" spans="1:10">
      <c r="A92" s="15">
        <v>45656</v>
      </c>
      <c r="B92" s="9" t="s">
        <v>15</v>
      </c>
      <c r="C92" s="8">
        <v>664</v>
      </c>
      <c r="D92" s="8">
        <v>251</v>
      </c>
      <c r="E92" s="8">
        <v>240598</v>
      </c>
      <c r="F92" s="8">
        <v>4.79</v>
      </c>
      <c r="G92" s="8">
        <v>10563</v>
      </c>
      <c r="H92" s="41">
        <f>Engagement_Summary[[#This Row],[Engagement_Rate]]/Engagement_Summary[[#This Row],[Ad_Spend]]*100</f>
        <v>4.5346965824102997E-2</v>
      </c>
      <c r="I92" s="8">
        <f>Engagement_Summary[[#This Row],[New_Followers]]-Engagement_Summary[[#This Row],[Unfollows]]</f>
        <v>413</v>
      </c>
      <c r="J92" s="8" t="str">
        <f>INDEX(Engagement_Summary[Week_Start_Date],MATCH(MAX(I92:I291),I92:I291,0))&amp; "-" &amp; INDEX(B92:B291,MATCH(MAX(I92:I291),I92:I291,0))</f>
        <v>45446-Twitter</v>
      </c>
    </row>
    <row r="93" spans="1:10">
      <c r="A93" s="15">
        <v>45656</v>
      </c>
      <c r="B93" s="9" t="s">
        <v>27</v>
      </c>
      <c r="C93" s="8">
        <v>1490</v>
      </c>
      <c r="D93" s="8">
        <v>103</v>
      </c>
      <c r="E93" s="8">
        <v>373274</v>
      </c>
      <c r="F93" s="8">
        <v>4.8</v>
      </c>
      <c r="G93" s="8">
        <v>19949</v>
      </c>
      <c r="H93" s="41">
        <f>Engagement_Summary[[#This Row],[Engagement_Rate]]/Engagement_Summary[[#This Row],[Ad_Spend]]*100</f>
        <v>2.4061356458970375E-2</v>
      </c>
      <c r="I93" s="8">
        <f>Engagement_Summary[[#This Row],[New_Followers]]-Engagement_Summary[[#This Row],[Unfollows]]</f>
        <v>1387</v>
      </c>
      <c r="J93" s="8" t="str">
        <f>INDEX(Engagement_Summary[Week_Start_Date],MATCH(MAX(I93:I292),I93:I292,0))&amp; "-" &amp; INDEX(B93:B292,MATCH(MAX(I93:I292),I93:I292,0))</f>
        <v>45446-Twitter</v>
      </c>
    </row>
    <row r="94" spans="1:10">
      <c r="A94" s="15">
        <v>45656</v>
      </c>
      <c r="B94" s="9" t="s">
        <v>34</v>
      </c>
      <c r="C94" s="8">
        <v>601</v>
      </c>
      <c r="D94" s="8">
        <v>64</v>
      </c>
      <c r="E94" s="8">
        <v>123272</v>
      </c>
      <c r="F94" s="8">
        <v>4.07</v>
      </c>
      <c r="G94" s="8">
        <v>14273</v>
      </c>
      <c r="H94" s="41">
        <f>Engagement_Summary[[#This Row],[Engagement_Rate]]/Engagement_Summary[[#This Row],[Ad_Spend]]*100</f>
        <v>2.8515378687031457E-2</v>
      </c>
      <c r="I94" s="8">
        <f>Engagement_Summary[[#This Row],[New_Followers]]-Engagement_Summary[[#This Row],[Unfollows]]</f>
        <v>537</v>
      </c>
      <c r="J94" s="8" t="str">
        <f>INDEX(Engagement_Summary[Week_Start_Date],MATCH(MAX(I94:I293),I94:I293,0))&amp; "-" &amp; INDEX(B94:B293,MATCH(MAX(I94:I293),I94:I293,0))</f>
        <v>45656-YouTube</v>
      </c>
    </row>
    <row r="95" spans="1:10">
      <c r="A95" s="15">
        <v>45663</v>
      </c>
      <c r="B95" s="9" t="s">
        <v>15</v>
      </c>
      <c r="C95" s="8">
        <v>613</v>
      </c>
      <c r="D95" s="8">
        <v>170</v>
      </c>
      <c r="E95" s="8">
        <v>139266</v>
      </c>
      <c r="F95" s="8">
        <v>6.06</v>
      </c>
      <c r="G95" s="8">
        <v>9247</v>
      </c>
      <c r="H95" s="41">
        <f>Engagement_Summary[[#This Row],[Engagement_Rate]]/Engagement_Summary[[#This Row],[Ad_Spend]]*100</f>
        <v>6.5534768032875529E-2</v>
      </c>
      <c r="I95" s="8">
        <f>Engagement_Summary[[#This Row],[New_Followers]]-Engagement_Summary[[#This Row],[Unfollows]]</f>
        <v>443</v>
      </c>
      <c r="J95" s="8" t="str">
        <f>INDEX(Engagement_Summary[Week_Start_Date],MATCH(MAX(I95:I294),I95:I294,0))&amp; "-" &amp; INDEX(B95:B294,MATCH(MAX(I95:I294),I95:I294,0))</f>
        <v>45649-YouTube</v>
      </c>
    </row>
    <row r="96" spans="1:10">
      <c r="A96" s="15">
        <v>45663</v>
      </c>
      <c r="B96" s="9" t="s">
        <v>27</v>
      </c>
      <c r="C96" s="8">
        <v>1340</v>
      </c>
      <c r="D96" s="8">
        <v>57</v>
      </c>
      <c r="E96" s="8">
        <v>155927</v>
      </c>
      <c r="F96" s="8">
        <v>7.79</v>
      </c>
      <c r="G96" s="8">
        <v>11972</v>
      </c>
      <c r="H96" s="41">
        <f>Engagement_Summary[[#This Row],[Engagement_Rate]]/Engagement_Summary[[#This Row],[Ad_Spend]]*100</f>
        <v>6.5068493150684928E-2</v>
      </c>
      <c r="I96" s="8">
        <f>Engagement_Summary[[#This Row],[New_Followers]]-Engagement_Summary[[#This Row],[Unfollows]]</f>
        <v>1283</v>
      </c>
      <c r="J96" s="8" t="str">
        <f>INDEX(Engagement_Summary[Week_Start_Date],MATCH(MAX(I96:I295),I96:I295,0))&amp; "-" &amp; INDEX(B96:B295,MATCH(MAX(I96:I295),I96:I295,0))</f>
        <v>45649-YouTube</v>
      </c>
    </row>
    <row r="97" spans="1:10">
      <c r="A97" s="15">
        <v>45663</v>
      </c>
      <c r="B97" s="9" t="s">
        <v>34</v>
      </c>
      <c r="C97" s="8">
        <v>953</v>
      </c>
      <c r="D97" s="8">
        <v>228</v>
      </c>
      <c r="E97" s="8">
        <v>258398</v>
      </c>
      <c r="F97" s="8">
        <v>9.0500000000000007</v>
      </c>
      <c r="G97" s="8">
        <v>13314</v>
      </c>
      <c r="H97" s="41">
        <f>Engagement_Summary[[#This Row],[Engagement_Rate]]/Engagement_Summary[[#This Row],[Ad_Spend]]*100</f>
        <v>6.7973561664413401E-2</v>
      </c>
      <c r="I97" s="8">
        <f>Engagement_Summary[[#This Row],[New_Followers]]-Engagement_Summary[[#This Row],[Unfollows]]</f>
        <v>725</v>
      </c>
      <c r="J97" s="8" t="str">
        <f>INDEX(Engagement_Summary[Week_Start_Date],MATCH(MAX(I97:I296),I97:I296,0))&amp; "-" &amp; INDEX(B97:B296,MATCH(MAX(I97:I296),I97:I296,0))</f>
        <v>45649-YouTube</v>
      </c>
    </row>
    <row r="98" spans="1:10">
      <c r="A98" s="15">
        <v>45670</v>
      </c>
      <c r="B98" s="9" t="s">
        <v>15</v>
      </c>
      <c r="C98" s="8">
        <v>532</v>
      </c>
      <c r="D98" s="8">
        <v>65</v>
      </c>
      <c r="E98" s="8">
        <v>338561</v>
      </c>
      <c r="F98" s="8">
        <v>3.5</v>
      </c>
      <c r="G98" s="8">
        <v>14749</v>
      </c>
      <c r="H98" s="41">
        <f>Engagement_Summary[[#This Row],[Engagement_Rate]]/Engagement_Summary[[#This Row],[Ad_Spend]]*100</f>
        <v>2.3730422401518746E-2</v>
      </c>
      <c r="I98" s="8">
        <f>Engagement_Summary[[#This Row],[New_Followers]]-Engagement_Summary[[#This Row],[Unfollows]]</f>
        <v>467</v>
      </c>
      <c r="J98" s="8" t="str">
        <f>INDEX(Engagement_Summary[Week_Start_Date],MATCH(MAX(I98:I297),I98:I297,0))&amp; "-" &amp; INDEX(B98:B297,MATCH(MAX(I98:I297),I98:I297,0))</f>
        <v>45642-YouTube</v>
      </c>
    </row>
    <row r="99" spans="1:10">
      <c r="A99" s="15">
        <v>45670</v>
      </c>
      <c r="B99" s="9" t="s">
        <v>27</v>
      </c>
      <c r="C99" s="8">
        <v>1414</v>
      </c>
      <c r="D99" s="8">
        <v>60</v>
      </c>
      <c r="E99" s="8">
        <v>341856</v>
      </c>
      <c r="F99" s="8">
        <v>8.76</v>
      </c>
      <c r="G99" s="8">
        <v>6868</v>
      </c>
      <c r="H99" s="41">
        <f>Engagement_Summary[[#This Row],[Engagement_Rate]]/Engagement_Summary[[#This Row],[Ad_Spend]]*100</f>
        <v>0.12754804892253932</v>
      </c>
      <c r="I99" s="8">
        <f>Engagement_Summary[[#This Row],[New_Followers]]-Engagement_Summary[[#This Row],[Unfollows]]</f>
        <v>1354</v>
      </c>
      <c r="J99" s="8" t="str">
        <f>INDEX(Engagement_Summary[Week_Start_Date],MATCH(MAX(I99:I298),I99:I298,0))&amp; "-" &amp; INDEX(B99:B298,MATCH(MAX(I99:I298),I99:I298,0))</f>
        <v>45642-YouTube</v>
      </c>
    </row>
    <row r="100" spans="1:10">
      <c r="A100" s="15">
        <v>45670</v>
      </c>
      <c r="B100" s="9" t="s">
        <v>34</v>
      </c>
      <c r="C100" s="8">
        <v>685</v>
      </c>
      <c r="D100" s="8">
        <v>165</v>
      </c>
      <c r="E100" s="8">
        <v>175860</v>
      </c>
      <c r="F100" s="8">
        <v>6.26</v>
      </c>
      <c r="G100" s="8">
        <v>6027</v>
      </c>
      <c r="H100" s="41">
        <f>Engagement_Summary[[#This Row],[Engagement_Rate]]/Engagement_Summary[[#This Row],[Ad_Spend]]*100</f>
        <v>0.10386593661854986</v>
      </c>
      <c r="I100" s="8">
        <f>Engagement_Summary[[#This Row],[New_Followers]]-Engagement_Summary[[#This Row],[Unfollows]]</f>
        <v>520</v>
      </c>
      <c r="J100" s="8" t="str">
        <f>INDEX(Engagement_Summary[Week_Start_Date],MATCH(MAX(I100:I299),I100:I299,0))&amp; "-" &amp; INDEX(B100:B299,MATCH(MAX(I100:I299),I100:I299,0))</f>
        <v>45642-YouTube</v>
      </c>
    </row>
    <row r="101" spans="1:10">
      <c r="A101" s="15">
        <v>45677</v>
      </c>
      <c r="B101" s="9" t="s">
        <v>15</v>
      </c>
      <c r="C101" s="8">
        <v>601</v>
      </c>
      <c r="D101" s="8">
        <v>159</v>
      </c>
      <c r="E101" s="8">
        <v>327722</v>
      </c>
      <c r="F101" s="8">
        <v>3.33</v>
      </c>
      <c r="G101" s="8">
        <v>25267</v>
      </c>
      <c r="H101" s="41">
        <f>Engagement_Summary[[#This Row],[Engagement_Rate]]/Engagement_Summary[[#This Row],[Ad_Spend]]*100</f>
        <v>1.3179245656389758E-2</v>
      </c>
      <c r="I101" s="8">
        <f>Engagement_Summary[[#This Row],[New_Followers]]-Engagement_Summary[[#This Row],[Unfollows]]</f>
        <v>442</v>
      </c>
      <c r="J101" s="8" t="str">
        <f>INDEX(Engagement_Summary[Week_Start_Date],MATCH(MAX(I101:I300),I101:I300,0))&amp; "-" &amp; INDEX(B101:B300,MATCH(MAX(I101:I300),I101:I300,0))</f>
        <v>45635-YouTube</v>
      </c>
    </row>
    <row r="102" spans="1:10">
      <c r="A102" s="15">
        <v>45677</v>
      </c>
      <c r="B102" s="9" t="s">
        <v>27</v>
      </c>
      <c r="C102" s="8">
        <v>841</v>
      </c>
      <c r="D102" s="8">
        <v>295</v>
      </c>
      <c r="E102" s="8">
        <v>271638</v>
      </c>
      <c r="F102" s="8">
        <v>9.15</v>
      </c>
      <c r="G102" s="8">
        <v>5900</v>
      </c>
      <c r="H102" s="41">
        <f>Engagement_Summary[[#This Row],[Engagement_Rate]]/Engagement_Summary[[#This Row],[Ad_Spend]]*100</f>
        <v>0.15508474576271186</v>
      </c>
      <c r="I102" s="8">
        <f>Engagement_Summary[[#This Row],[New_Followers]]-Engagement_Summary[[#This Row],[Unfollows]]</f>
        <v>546</v>
      </c>
      <c r="J102" s="8" t="str">
        <f>INDEX(Engagement_Summary[Week_Start_Date],MATCH(MAX(I102:I301),I102:I301,0))&amp; "-" &amp; INDEX(B102:B301,MATCH(MAX(I102:I301),I102:I301,0))</f>
        <v>45635-YouTube</v>
      </c>
    </row>
    <row r="103" spans="1:10">
      <c r="A103" s="15">
        <v>45677</v>
      </c>
      <c r="B103" s="9" t="s">
        <v>34</v>
      </c>
      <c r="C103" s="8">
        <v>1105</v>
      </c>
      <c r="D103" s="8">
        <v>261</v>
      </c>
      <c r="E103" s="8">
        <v>333851</v>
      </c>
      <c r="F103" s="8">
        <v>6.03</v>
      </c>
      <c r="G103" s="8">
        <v>11181</v>
      </c>
      <c r="H103" s="41">
        <f>Engagement_Summary[[#This Row],[Engagement_Rate]]/Engagement_Summary[[#This Row],[Ad_Spend]]*100</f>
        <v>5.3930775422591899E-2</v>
      </c>
      <c r="I103" s="8">
        <f>Engagement_Summary[[#This Row],[New_Followers]]-Engagement_Summary[[#This Row],[Unfollows]]</f>
        <v>844</v>
      </c>
      <c r="J103" s="8" t="str">
        <f>INDEX(Engagement_Summary[Week_Start_Date],MATCH(MAX(I103:I302),I103:I302,0))&amp; "-" &amp; INDEX(B103:B302,MATCH(MAX(I103:I302),I103:I302,0))</f>
        <v>45635-YouTube</v>
      </c>
    </row>
    <row r="104" spans="1:10">
      <c r="A104" s="15">
        <v>45684</v>
      </c>
      <c r="B104" s="9" t="s">
        <v>15</v>
      </c>
      <c r="C104" s="8">
        <v>566</v>
      </c>
      <c r="D104" s="8">
        <v>225</v>
      </c>
      <c r="E104" s="8">
        <v>368984</v>
      </c>
      <c r="F104" s="8">
        <v>9.82</v>
      </c>
      <c r="G104" s="8">
        <v>9592</v>
      </c>
      <c r="H104" s="41">
        <f>Engagement_Summary[[#This Row],[Engagement_Rate]]/Engagement_Summary[[#This Row],[Ad_Spend]]*100</f>
        <v>0.10237698081734779</v>
      </c>
      <c r="I104" s="8">
        <f>Engagement_Summary[[#This Row],[New_Followers]]-Engagement_Summary[[#This Row],[Unfollows]]</f>
        <v>341</v>
      </c>
      <c r="J104" s="8" t="str">
        <f>INDEX(Engagement_Summary[Week_Start_Date],MATCH(MAX(I104:I303),I104:I303,0))&amp; "-" &amp; INDEX(B104:B303,MATCH(MAX(I104:I303),I104:I303,0))</f>
        <v>45628-YouTube</v>
      </c>
    </row>
    <row r="105" spans="1:10">
      <c r="A105" s="15">
        <v>45684</v>
      </c>
      <c r="B105" s="9" t="s">
        <v>27</v>
      </c>
      <c r="C105" s="8">
        <v>1149</v>
      </c>
      <c r="D105" s="8">
        <v>280</v>
      </c>
      <c r="E105" s="8">
        <v>167310</v>
      </c>
      <c r="F105" s="8">
        <v>3.7</v>
      </c>
      <c r="G105" s="8">
        <v>5291</v>
      </c>
      <c r="H105" s="41">
        <f>Engagement_Summary[[#This Row],[Engagement_Rate]]/Engagement_Summary[[#This Row],[Ad_Spend]]*100</f>
        <v>6.9930069930069935E-2</v>
      </c>
      <c r="I105" s="8">
        <f>Engagement_Summary[[#This Row],[New_Followers]]-Engagement_Summary[[#This Row],[Unfollows]]</f>
        <v>869</v>
      </c>
      <c r="J105" s="8" t="str">
        <f>INDEX(Engagement_Summary[Week_Start_Date],MATCH(MAX(I105:I304),I105:I304,0))&amp; "-" &amp; INDEX(B105:B304,MATCH(MAX(I105:I304),I105:I304,0))</f>
        <v>45628-YouTube</v>
      </c>
    </row>
    <row r="106" spans="1:10">
      <c r="A106" s="15">
        <v>45684</v>
      </c>
      <c r="B106" s="9" t="s">
        <v>34</v>
      </c>
      <c r="C106" s="8">
        <v>819</v>
      </c>
      <c r="D106" s="8">
        <v>101</v>
      </c>
      <c r="E106" s="8">
        <v>194811</v>
      </c>
      <c r="F106" s="8">
        <v>3.35</v>
      </c>
      <c r="G106" s="8">
        <v>22244</v>
      </c>
      <c r="H106" s="41">
        <f>Engagement_Summary[[#This Row],[Engagement_Rate]]/Engagement_Summary[[#This Row],[Ad_Spend]]*100</f>
        <v>1.5060240963855423E-2</v>
      </c>
      <c r="I106" s="8">
        <f>Engagement_Summary[[#This Row],[New_Followers]]-Engagement_Summary[[#This Row],[Unfollows]]</f>
        <v>718</v>
      </c>
      <c r="J106" s="8" t="str">
        <f>INDEX(Engagement_Summary[Week_Start_Date],MATCH(MAX(I106:I305),I106:I305,0))&amp; "-" &amp; INDEX(B106:B305,MATCH(MAX(I106:I305),I106:I305,0))</f>
        <v>45628-YouTube</v>
      </c>
    </row>
    <row r="107" spans="1:10">
      <c r="A107" s="15">
        <v>45691</v>
      </c>
      <c r="B107" s="9" t="s">
        <v>15</v>
      </c>
      <c r="C107" s="8">
        <v>795</v>
      </c>
      <c r="D107" s="8">
        <v>60</v>
      </c>
      <c r="E107" s="8">
        <v>314982</v>
      </c>
      <c r="F107" s="8">
        <v>7.31</v>
      </c>
      <c r="G107" s="8">
        <v>6824</v>
      </c>
      <c r="H107" s="41">
        <f>Engagement_Summary[[#This Row],[Engagement_Rate]]/Engagement_Summary[[#This Row],[Ad_Spend]]*100</f>
        <v>0.1071219226260258</v>
      </c>
      <c r="I107" s="8">
        <f>Engagement_Summary[[#This Row],[New_Followers]]-Engagement_Summary[[#This Row],[Unfollows]]</f>
        <v>735</v>
      </c>
      <c r="J107" s="8" t="str">
        <f>INDEX(Engagement_Summary[Week_Start_Date],MATCH(MAX(I107:I306),I107:I306,0))&amp; "-" &amp; INDEX(B107:B306,MATCH(MAX(I107:I306),I107:I306,0))</f>
        <v>45621-YouTube</v>
      </c>
    </row>
    <row r="108" spans="1:10">
      <c r="A108" s="15">
        <v>45691</v>
      </c>
      <c r="B108" s="9" t="s">
        <v>27</v>
      </c>
      <c r="C108" s="8">
        <v>681</v>
      </c>
      <c r="D108" s="8">
        <v>158</v>
      </c>
      <c r="E108" s="8">
        <v>75960</v>
      </c>
      <c r="F108" s="8">
        <v>3.13</v>
      </c>
      <c r="G108" s="8">
        <v>24112</v>
      </c>
      <c r="H108" s="41">
        <f>Engagement_Summary[[#This Row],[Engagement_Rate]]/Engagement_Summary[[#This Row],[Ad_Spend]]*100</f>
        <v>1.2981088254810882E-2</v>
      </c>
      <c r="I108" s="8">
        <f>Engagement_Summary[[#This Row],[New_Followers]]-Engagement_Summary[[#This Row],[Unfollows]]</f>
        <v>523</v>
      </c>
      <c r="J108" s="8" t="str">
        <f>INDEX(Engagement_Summary[Week_Start_Date],MATCH(MAX(I108:I307),I108:I307,0))&amp; "-" &amp; INDEX(B108:B307,MATCH(MAX(I108:I307),I108:I307,0))</f>
        <v>45621-YouTube</v>
      </c>
    </row>
    <row r="109" spans="1:10">
      <c r="A109" s="15">
        <v>45691</v>
      </c>
      <c r="B109" s="9" t="s">
        <v>34</v>
      </c>
      <c r="C109" s="8">
        <v>534</v>
      </c>
      <c r="D109" s="8">
        <v>112</v>
      </c>
      <c r="E109" s="8">
        <v>360759</v>
      </c>
      <c r="F109" s="8">
        <v>4.8899999999999997</v>
      </c>
      <c r="G109" s="8">
        <v>25478</v>
      </c>
      <c r="H109" s="41">
        <f>Engagement_Summary[[#This Row],[Engagement_Rate]]/Engagement_Summary[[#This Row],[Ad_Spend]]*100</f>
        <v>1.9193029280163278E-2</v>
      </c>
      <c r="I109" s="8">
        <f>Engagement_Summary[[#This Row],[New_Followers]]-Engagement_Summary[[#This Row],[Unfollows]]</f>
        <v>422</v>
      </c>
      <c r="J109" s="8" t="str">
        <f>INDEX(Engagement_Summary[Week_Start_Date],MATCH(MAX(I109:I308),I109:I308,0))&amp; "-" &amp; INDEX(B109:B308,MATCH(MAX(I109:I308),I109:I308,0))</f>
        <v>45621-YouTube</v>
      </c>
    </row>
    <row r="110" spans="1:10">
      <c r="A110" s="15">
        <v>45698</v>
      </c>
      <c r="B110" s="9" t="s">
        <v>15</v>
      </c>
      <c r="C110" s="8">
        <v>1066</v>
      </c>
      <c r="D110" s="8">
        <v>151</v>
      </c>
      <c r="E110" s="8">
        <v>297090</v>
      </c>
      <c r="F110" s="8">
        <v>8.6300000000000008</v>
      </c>
      <c r="G110" s="8">
        <v>11235</v>
      </c>
      <c r="H110" s="41">
        <f>Engagement_Summary[[#This Row],[Engagement_Rate]]/Engagement_Summary[[#This Row],[Ad_Spend]]*100</f>
        <v>7.6813529149977758E-2</v>
      </c>
      <c r="I110" s="8">
        <f>Engagement_Summary[[#This Row],[New_Followers]]-Engagement_Summary[[#This Row],[Unfollows]]</f>
        <v>915</v>
      </c>
      <c r="J110" s="8" t="str">
        <f>INDEX(Engagement_Summary[Week_Start_Date],MATCH(MAX(I110:I309),I110:I309,0))&amp; "-" &amp; INDEX(B110:B309,MATCH(MAX(I110:I309),I110:I309,0))</f>
        <v>45614-YouTube</v>
      </c>
    </row>
    <row r="111" spans="1:10">
      <c r="A111" s="15">
        <v>45698</v>
      </c>
      <c r="B111" s="9" t="s">
        <v>27</v>
      </c>
      <c r="C111" s="8">
        <v>1270</v>
      </c>
      <c r="D111" s="8">
        <v>162</v>
      </c>
      <c r="E111" s="8">
        <v>92040</v>
      </c>
      <c r="F111" s="8">
        <v>8.0299999999999994</v>
      </c>
      <c r="G111" s="8">
        <v>6120</v>
      </c>
      <c r="H111" s="41">
        <f>Engagement_Summary[[#This Row],[Engagement_Rate]]/Engagement_Summary[[#This Row],[Ad_Spend]]*100</f>
        <v>0.13120915032679736</v>
      </c>
      <c r="I111" s="8">
        <f>Engagement_Summary[[#This Row],[New_Followers]]-Engagement_Summary[[#This Row],[Unfollows]]</f>
        <v>1108</v>
      </c>
      <c r="J111" s="8" t="str">
        <f>INDEX(Engagement_Summary[Week_Start_Date],MATCH(MAX(I111:I310),I111:I310,0))&amp; "-" &amp; INDEX(B111:B310,MATCH(MAX(I111:I310),I111:I310,0))</f>
        <v>45614-YouTube</v>
      </c>
    </row>
    <row r="112" spans="1:10">
      <c r="A112" s="15">
        <v>45698</v>
      </c>
      <c r="B112" s="9" t="s">
        <v>34</v>
      </c>
      <c r="C112" s="8">
        <v>536</v>
      </c>
      <c r="D112" s="8">
        <v>198</v>
      </c>
      <c r="E112" s="8">
        <v>174610</v>
      </c>
      <c r="F112" s="8">
        <v>7.85</v>
      </c>
      <c r="G112" s="8">
        <v>20572</v>
      </c>
      <c r="H112" s="41">
        <f>Engagement_Summary[[#This Row],[Engagement_Rate]]/Engagement_Summary[[#This Row],[Ad_Spend]]*100</f>
        <v>3.8158662259381686E-2</v>
      </c>
      <c r="I112" s="8">
        <f>Engagement_Summary[[#This Row],[New_Followers]]-Engagement_Summary[[#This Row],[Unfollows]]</f>
        <v>338</v>
      </c>
      <c r="J112" s="8" t="str">
        <f>INDEX(Engagement_Summary[Week_Start_Date],MATCH(MAX(I112:I311),I112:I311,0))&amp; "-" &amp; INDEX(B112:B311,MATCH(MAX(I112:I311),I112:I311,0))</f>
        <v>45614-YouTube</v>
      </c>
    </row>
    <row r="113" spans="1:10">
      <c r="A113" s="15">
        <v>45705</v>
      </c>
      <c r="B113" s="9" t="s">
        <v>15</v>
      </c>
      <c r="C113" s="8">
        <v>819</v>
      </c>
      <c r="D113" s="8">
        <v>95</v>
      </c>
      <c r="E113" s="8">
        <v>177376</v>
      </c>
      <c r="F113" s="8">
        <v>6.12</v>
      </c>
      <c r="G113" s="8">
        <v>14975</v>
      </c>
      <c r="H113" s="41">
        <f>Engagement_Summary[[#This Row],[Engagement_Rate]]/Engagement_Summary[[#This Row],[Ad_Spend]]*100</f>
        <v>4.0868113522537566E-2</v>
      </c>
      <c r="I113" s="8">
        <f>Engagement_Summary[[#This Row],[New_Followers]]-Engagement_Summary[[#This Row],[Unfollows]]</f>
        <v>724</v>
      </c>
      <c r="J113" s="8" t="str">
        <f>INDEX(Engagement_Summary[Week_Start_Date],MATCH(MAX(I113:I312),I113:I312,0))&amp; "-" &amp; INDEX(B113:B312,MATCH(MAX(I113:I312),I113:I312,0))</f>
        <v>45607-YouTube</v>
      </c>
    </row>
    <row r="114" spans="1:10">
      <c r="A114" s="15">
        <v>45705</v>
      </c>
      <c r="B114" s="9" t="s">
        <v>27</v>
      </c>
      <c r="C114" s="8">
        <v>681</v>
      </c>
      <c r="D114" s="8">
        <v>218</v>
      </c>
      <c r="E114" s="8">
        <v>198882</v>
      </c>
      <c r="F114" s="8">
        <v>7.16</v>
      </c>
      <c r="G114" s="8">
        <v>22234</v>
      </c>
      <c r="H114" s="41">
        <f>Engagement_Summary[[#This Row],[Engagement_Rate]]/Engagement_Summary[[#This Row],[Ad_Spend]]*100</f>
        <v>3.2202932445803724E-2</v>
      </c>
      <c r="I114" s="8">
        <f>Engagement_Summary[[#This Row],[New_Followers]]-Engagement_Summary[[#This Row],[Unfollows]]</f>
        <v>463</v>
      </c>
      <c r="J114" s="8" t="str">
        <f>INDEX(Engagement_Summary[Week_Start_Date],MATCH(MAX(I114:I313),I114:I313,0))&amp; "-" &amp; INDEX(B114:B313,MATCH(MAX(I114:I313),I114:I313,0))</f>
        <v>45607-YouTube</v>
      </c>
    </row>
    <row r="115" spans="1:10">
      <c r="A115" s="15">
        <v>45705</v>
      </c>
      <c r="B115" s="9" t="s">
        <v>34</v>
      </c>
      <c r="C115" s="8">
        <v>646</v>
      </c>
      <c r="D115" s="8">
        <v>290</v>
      </c>
      <c r="E115" s="8">
        <v>336383</v>
      </c>
      <c r="F115" s="8">
        <v>7.04</v>
      </c>
      <c r="G115" s="8">
        <v>6532</v>
      </c>
      <c r="H115" s="41">
        <f>Engagement_Summary[[#This Row],[Engagement_Rate]]/Engagement_Summary[[#This Row],[Ad_Spend]]*100</f>
        <v>0.10777709736680956</v>
      </c>
      <c r="I115" s="8">
        <f>Engagement_Summary[[#This Row],[New_Followers]]-Engagement_Summary[[#This Row],[Unfollows]]</f>
        <v>356</v>
      </c>
      <c r="J115" s="8" t="str">
        <f>INDEX(Engagement_Summary[Week_Start_Date],MATCH(MAX(I115:I314),I115:I314,0))&amp; "-" &amp; INDEX(B115:B314,MATCH(MAX(I115:I314),I115:I314,0))</f>
        <v>45607-YouTube</v>
      </c>
    </row>
    <row r="116" spans="1:10">
      <c r="A116" s="15">
        <v>45712</v>
      </c>
      <c r="B116" s="9" t="s">
        <v>15</v>
      </c>
      <c r="C116" s="8">
        <v>645</v>
      </c>
      <c r="D116" s="8">
        <v>267</v>
      </c>
      <c r="E116" s="8">
        <v>346890</v>
      </c>
      <c r="F116" s="8">
        <v>3.71</v>
      </c>
      <c r="G116" s="8">
        <v>24858</v>
      </c>
      <c r="H116" s="41">
        <f>Engagement_Summary[[#This Row],[Engagement_Rate]]/Engagement_Summary[[#This Row],[Ad_Spend]]*100</f>
        <v>1.4924772708987047E-2</v>
      </c>
      <c r="I116" s="8">
        <f>Engagement_Summary[[#This Row],[New_Followers]]-Engagement_Summary[[#This Row],[Unfollows]]</f>
        <v>378</v>
      </c>
      <c r="J116" s="8" t="str">
        <f>INDEX(Engagement_Summary[Week_Start_Date],MATCH(MAX(I116:I315),I116:I315,0))&amp; "-" &amp; INDEX(B116:B315,MATCH(MAX(I116:I315),I116:I315,0))</f>
        <v>45600-YouTube</v>
      </c>
    </row>
    <row r="117" spans="1:10">
      <c r="A117" s="15">
        <v>45712</v>
      </c>
      <c r="B117" s="9" t="s">
        <v>27</v>
      </c>
      <c r="C117" s="8">
        <v>886</v>
      </c>
      <c r="D117" s="8">
        <v>250</v>
      </c>
      <c r="E117" s="8">
        <v>168170</v>
      </c>
      <c r="F117" s="8">
        <v>4.12</v>
      </c>
      <c r="G117" s="8">
        <v>13883</v>
      </c>
      <c r="H117" s="41">
        <f>Engagement_Summary[[#This Row],[Engagement_Rate]]/Engagement_Summary[[#This Row],[Ad_Spend]]*100</f>
        <v>2.967658287113736E-2</v>
      </c>
      <c r="I117" s="8">
        <f>Engagement_Summary[[#This Row],[New_Followers]]-Engagement_Summary[[#This Row],[Unfollows]]</f>
        <v>636</v>
      </c>
      <c r="J117" s="8" t="str">
        <f>INDEX(Engagement_Summary[Week_Start_Date],MATCH(MAX(I117:I316),I117:I316,0))&amp; "-" &amp; INDEX(B117:B316,MATCH(MAX(I117:I316),I117:I316,0))</f>
        <v>45600-YouTube</v>
      </c>
    </row>
    <row r="118" spans="1:10">
      <c r="A118" s="15">
        <v>45712</v>
      </c>
      <c r="B118" s="9" t="s">
        <v>34</v>
      </c>
      <c r="C118" s="8">
        <v>978</v>
      </c>
      <c r="D118" s="8">
        <v>279</v>
      </c>
      <c r="E118" s="8">
        <v>368872</v>
      </c>
      <c r="F118" s="8">
        <v>6.82</v>
      </c>
      <c r="G118" s="8">
        <v>18654</v>
      </c>
      <c r="H118" s="41">
        <f>Engagement_Summary[[#This Row],[Engagement_Rate]]/Engagement_Summary[[#This Row],[Ad_Spend]]*100</f>
        <v>3.6560523212179695E-2</v>
      </c>
      <c r="I118" s="8">
        <f>Engagement_Summary[[#This Row],[New_Followers]]-Engagement_Summary[[#This Row],[Unfollows]]</f>
        <v>699</v>
      </c>
      <c r="J118" s="8" t="str">
        <f>INDEX(Engagement_Summary[Week_Start_Date],MATCH(MAX(I118:I317),I118:I317,0))&amp; "-" &amp; INDEX(B118:B317,MATCH(MAX(I118:I317),I118:I317,0))</f>
        <v>45600-YouTube</v>
      </c>
    </row>
    <row r="119" spans="1:10">
      <c r="A119" s="15">
        <v>45719</v>
      </c>
      <c r="B119" s="9" t="s">
        <v>15</v>
      </c>
      <c r="C119" s="8">
        <v>1444</v>
      </c>
      <c r="D119" s="8">
        <v>165</v>
      </c>
      <c r="E119" s="8">
        <v>116436</v>
      </c>
      <c r="F119" s="8">
        <v>8.2200000000000006</v>
      </c>
      <c r="G119" s="8">
        <v>25234</v>
      </c>
      <c r="H119" s="41">
        <f>Engagement_Summary[[#This Row],[Engagement_Rate]]/Engagement_Summary[[#This Row],[Ad_Spend]]*100</f>
        <v>3.2575097091226128E-2</v>
      </c>
      <c r="I119" s="8">
        <f>Engagement_Summary[[#This Row],[New_Followers]]-Engagement_Summary[[#This Row],[Unfollows]]</f>
        <v>1279</v>
      </c>
      <c r="J119" s="8" t="str">
        <f>INDEX(Engagement_Summary[Week_Start_Date],MATCH(MAX(I119:I318),I119:I318,0))&amp; "-" &amp; INDEX(B119:B318,MATCH(MAX(I119:I318),I119:I318,0))</f>
        <v>45593-YouTube</v>
      </c>
    </row>
    <row r="120" spans="1:10">
      <c r="A120" s="15">
        <v>45719</v>
      </c>
      <c r="B120" s="9" t="s">
        <v>27</v>
      </c>
      <c r="C120" s="8">
        <v>1234</v>
      </c>
      <c r="D120" s="8">
        <v>228</v>
      </c>
      <c r="E120" s="8">
        <v>127502</v>
      </c>
      <c r="F120" s="8">
        <v>7.71</v>
      </c>
      <c r="G120" s="8">
        <v>6772</v>
      </c>
      <c r="H120" s="41">
        <f>Engagement_Summary[[#This Row],[Engagement_Rate]]/Engagement_Summary[[#This Row],[Ad_Spend]]*100</f>
        <v>0.11385115180153574</v>
      </c>
      <c r="I120" s="8">
        <f>Engagement_Summary[[#This Row],[New_Followers]]-Engagement_Summary[[#This Row],[Unfollows]]</f>
        <v>1006</v>
      </c>
      <c r="J120" s="8" t="str">
        <f>INDEX(Engagement_Summary[Week_Start_Date],MATCH(MAX(I120:I319),I120:I319,0))&amp; "-" &amp; INDEX(B120:B319,MATCH(MAX(I120:I319),I120:I319,0))</f>
        <v>45593-YouTube</v>
      </c>
    </row>
    <row r="121" spans="1:10">
      <c r="A121" s="15">
        <v>45719</v>
      </c>
      <c r="B121" s="9" t="s">
        <v>34</v>
      </c>
      <c r="C121" s="8">
        <v>665</v>
      </c>
      <c r="D121" s="8">
        <v>187</v>
      </c>
      <c r="E121" s="8">
        <v>274567</v>
      </c>
      <c r="F121" s="8">
        <v>7.39</v>
      </c>
      <c r="G121" s="8">
        <v>22428</v>
      </c>
      <c r="H121" s="41">
        <f>Engagement_Summary[[#This Row],[Engagement_Rate]]/Engagement_Summary[[#This Row],[Ad_Spend]]*100</f>
        <v>3.2949884073479575E-2</v>
      </c>
      <c r="I121" s="8">
        <f>Engagement_Summary[[#This Row],[New_Followers]]-Engagement_Summary[[#This Row],[Unfollows]]</f>
        <v>478</v>
      </c>
      <c r="J121" s="8" t="str">
        <f>INDEX(Engagement_Summary[Week_Start_Date],MATCH(MAX(I121:I320),I121:I320,0))&amp; "-" &amp; INDEX(B121:B320,MATCH(MAX(I121:I320),I121:I320,0))</f>
        <v>45593-YouTube</v>
      </c>
    </row>
    <row r="122" spans="1:10">
      <c r="A122" s="15">
        <v>45726</v>
      </c>
      <c r="B122" s="9" t="s">
        <v>15</v>
      </c>
      <c r="C122" s="8">
        <v>631</v>
      </c>
      <c r="D122" s="8">
        <v>86</v>
      </c>
      <c r="E122" s="8">
        <v>295090</v>
      </c>
      <c r="F122" s="8">
        <v>7.89</v>
      </c>
      <c r="G122" s="8">
        <v>11911</v>
      </c>
      <c r="H122" s="41">
        <f>Engagement_Summary[[#This Row],[Engagement_Rate]]/Engagement_Summary[[#This Row],[Ad_Spend]]*100</f>
        <v>6.6241289564268321E-2</v>
      </c>
      <c r="I122" s="8">
        <f>Engagement_Summary[[#This Row],[New_Followers]]-Engagement_Summary[[#This Row],[Unfollows]]</f>
        <v>545</v>
      </c>
      <c r="J122" s="8" t="str">
        <f>INDEX(Engagement_Summary[Week_Start_Date],MATCH(MAX(I122:I321),I122:I321,0))&amp; "-" &amp; INDEX(B122:B321,MATCH(MAX(I122:I321),I122:I321,0))</f>
        <v>45586-YouTube</v>
      </c>
    </row>
    <row r="123" spans="1:10">
      <c r="A123" s="15">
        <v>45726</v>
      </c>
      <c r="B123" s="9" t="s">
        <v>27</v>
      </c>
      <c r="C123" s="8">
        <v>1159</v>
      </c>
      <c r="D123" s="8">
        <v>154</v>
      </c>
      <c r="E123" s="8">
        <v>194994</v>
      </c>
      <c r="F123" s="8">
        <v>6.39</v>
      </c>
      <c r="G123" s="8">
        <v>21900</v>
      </c>
      <c r="H123" s="41">
        <f>Engagement_Summary[[#This Row],[Engagement_Rate]]/Engagement_Summary[[#This Row],[Ad_Spend]]*100</f>
        <v>2.9178082191780821E-2</v>
      </c>
      <c r="I123" s="8">
        <f>Engagement_Summary[[#This Row],[New_Followers]]-Engagement_Summary[[#This Row],[Unfollows]]</f>
        <v>1005</v>
      </c>
      <c r="J123" s="8" t="str">
        <f>INDEX(Engagement_Summary[Week_Start_Date],MATCH(MAX(I123:I322),I123:I322,0))&amp; "-" &amp; INDEX(B123:B322,MATCH(MAX(I123:I322),I123:I322,0))</f>
        <v>45586-YouTube</v>
      </c>
    </row>
    <row r="124" spans="1:10">
      <c r="A124" s="15">
        <v>45726</v>
      </c>
      <c r="B124" s="9" t="s">
        <v>34</v>
      </c>
      <c r="C124" s="8">
        <v>950</v>
      </c>
      <c r="D124" s="8">
        <v>185</v>
      </c>
      <c r="E124" s="8">
        <v>340750</v>
      </c>
      <c r="F124" s="8">
        <v>6.77</v>
      </c>
      <c r="G124" s="8">
        <v>25542</v>
      </c>
      <c r="H124" s="41">
        <f>Engagement_Summary[[#This Row],[Engagement_Rate]]/Engagement_Summary[[#This Row],[Ad_Spend]]*100</f>
        <v>2.6505363714666035E-2</v>
      </c>
      <c r="I124" s="8">
        <f>Engagement_Summary[[#This Row],[New_Followers]]-Engagement_Summary[[#This Row],[Unfollows]]</f>
        <v>765</v>
      </c>
      <c r="J124" s="8" t="str">
        <f>INDEX(Engagement_Summary[Week_Start_Date],MATCH(MAX(I124:I323),I124:I323,0))&amp; "-" &amp; INDEX(B124:B323,MATCH(MAX(I124:I323),I124:I323,0))</f>
        <v>45586-YouTube</v>
      </c>
    </row>
    <row r="125" spans="1:10">
      <c r="A125" s="15">
        <v>45733</v>
      </c>
      <c r="B125" s="9" t="s">
        <v>15</v>
      </c>
      <c r="C125" s="8">
        <v>693</v>
      </c>
      <c r="D125" s="8">
        <v>129</v>
      </c>
      <c r="E125" s="8">
        <v>296031</v>
      </c>
      <c r="F125" s="8">
        <v>3.41</v>
      </c>
      <c r="G125" s="8">
        <v>7140</v>
      </c>
      <c r="H125" s="41">
        <f>Engagement_Summary[[#This Row],[Engagement_Rate]]/Engagement_Summary[[#This Row],[Ad_Spend]]*100</f>
        <v>4.7759103641456586E-2</v>
      </c>
      <c r="I125" s="8">
        <f>Engagement_Summary[[#This Row],[New_Followers]]-Engagement_Summary[[#This Row],[Unfollows]]</f>
        <v>564</v>
      </c>
      <c r="J125" s="8" t="str">
        <f>INDEX(Engagement_Summary[Week_Start_Date],MATCH(MAX(I125:I324),I125:I324,0))&amp; "-" &amp; INDEX(B125:B324,MATCH(MAX(I125:I324),I125:I324,0))</f>
        <v>45579-YouTube</v>
      </c>
    </row>
    <row r="126" spans="1:10">
      <c r="A126" s="15">
        <v>45733</v>
      </c>
      <c r="B126" s="9" t="s">
        <v>27</v>
      </c>
      <c r="C126" s="8">
        <v>576</v>
      </c>
      <c r="D126" s="8">
        <v>80</v>
      </c>
      <c r="E126" s="8">
        <v>345688</v>
      </c>
      <c r="F126" s="8">
        <v>4.1100000000000003</v>
      </c>
      <c r="G126" s="8">
        <v>20474</v>
      </c>
      <c r="H126" s="41">
        <f>Engagement_Summary[[#This Row],[Engagement_Rate]]/Engagement_Summary[[#This Row],[Ad_Spend]]*100</f>
        <v>2.0074240500146528E-2</v>
      </c>
      <c r="I126" s="8">
        <f>Engagement_Summary[[#This Row],[New_Followers]]-Engagement_Summary[[#This Row],[Unfollows]]</f>
        <v>496</v>
      </c>
      <c r="J126" s="8" t="str">
        <f>INDEX(Engagement_Summary[Week_Start_Date],MATCH(MAX(I126:I325),I126:I325,0))&amp; "-" &amp; INDEX(B126:B325,MATCH(MAX(I126:I325),I126:I325,0))</f>
        <v>45579-YouTube</v>
      </c>
    </row>
    <row r="127" spans="1:10">
      <c r="A127" s="15">
        <v>45733</v>
      </c>
      <c r="B127" s="9" t="s">
        <v>34</v>
      </c>
      <c r="C127" s="8">
        <v>1274</v>
      </c>
      <c r="D127" s="8">
        <v>146</v>
      </c>
      <c r="E127" s="8">
        <v>263488</v>
      </c>
      <c r="F127" s="8">
        <v>9.58</v>
      </c>
      <c r="G127" s="8">
        <v>8698</v>
      </c>
      <c r="H127" s="41">
        <f>Engagement_Summary[[#This Row],[Engagement_Rate]]/Engagement_Summary[[#This Row],[Ad_Spend]]*100</f>
        <v>0.11014026212922512</v>
      </c>
      <c r="I127" s="8">
        <f>Engagement_Summary[[#This Row],[New_Followers]]-Engagement_Summary[[#This Row],[Unfollows]]</f>
        <v>1128</v>
      </c>
      <c r="J127" s="8" t="str">
        <f>INDEX(Engagement_Summary[Week_Start_Date],MATCH(MAX(I127:I326),I127:I326,0))&amp; "-" &amp; INDEX(B127:B326,MATCH(MAX(I127:I326),I127:I326,0))</f>
        <v>45579-YouTube</v>
      </c>
    </row>
    <row r="128" spans="1:10">
      <c r="A128" s="15">
        <v>45740</v>
      </c>
      <c r="B128" s="9" t="s">
        <v>15</v>
      </c>
      <c r="C128" s="8">
        <v>818</v>
      </c>
      <c r="D128" s="8">
        <v>253</v>
      </c>
      <c r="E128" s="8">
        <v>184911</v>
      </c>
      <c r="F128" s="8">
        <v>3.39</v>
      </c>
      <c r="G128" s="8">
        <v>10402</v>
      </c>
      <c r="H128" s="41">
        <f>Engagement_Summary[[#This Row],[Engagement_Rate]]/Engagement_Summary[[#This Row],[Ad_Spend]]*100</f>
        <v>3.2589886560276872E-2</v>
      </c>
      <c r="I128" s="8">
        <f>Engagement_Summary[[#This Row],[New_Followers]]-Engagement_Summary[[#This Row],[Unfollows]]</f>
        <v>565</v>
      </c>
      <c r="J128" s="8" t="str">
        <f>INDEX(Engagement_Summary[Week_Start_Date],MATCH(MAX(I128:I327),I128:I327,0))&amp; "-" &amp; INDEX(B128:B327,MATCH(MAX(I128:I327),I128:I327,0))</f>
        <v>45572-YouTube</v>
      </c>
    </row>
    <row r="129" spans="1:10">
      <c r="A129" s="15">
        <v>45740</v>
      </c>
      <c r="B129" s="9" t="s">
        <v>27</v>
      </c>
      <c r="C129" s="8">
        <v>975</v>
      </c>
      <c r="D129" s="8">
        <v>162</v>
      </c>
      <c r="E129" s="8">
        <v>124497</v>
      </c>
      <c r="F129" s="8">
        <v>9.58</v>
      </c>
      <c r="G129" s="8">
        <v>26618</v>
      </c>
      <c r="H129" s="41">
        <f>Engagement_Summary[[#This Row],[Engagement_Rate]]/Engagement_Summary[[#This Row],[Ad_Spend]]*100</f>
        <v>3.5990682996468557E-2</v>
      </c>
      <c r="I129" s="8">
        <f>Engagement_Summary[[#This Row],[New_Followers]]-Engagement_Summary[[#This Row],[Unfollows]]</f>
        <v>813</v>
      </c>
      <c r="J129" s="8" t="str">
        <f>INDEX(Engagement_Summary[Week_Start_Date],MATCH(MAX(I129:I328),I129:I328,0))&amp; "-" &amp; INDEX(B129:B328,MATCH(MAX(I129:I328),I129:I328,0))</f>
        <v>45572-YouTube</v>
      </c>
    </row>
    <row r="130" spans="1:10">
      <c r="A130" s="15">
        <v>45740</v>
      </c>
      <c r="B130" s="9" t="s">
        <v>34</v>
      </c>
      <c r="C130" s="8">
        <v>1398</v>
      </c>
      <c r="D130" s="8">
        <v>97</v>
      </c>
      <c r="E130" s="8">
        <v>397607</v>
      </c>
      <c r="F130" s="8">
        <v>5.09</v>
      </c>
      <c r="G130" s="8">
        <v>7975</v>
      </c>
      <c r="H130" s="41">
        <f>Engagement_Summary[[#This Row],[Engagement_Rate]]/Engagement_Summary[[#This Row],[Ad_Spend]]*100</f>
        <v>6.3824451410658303E-2</v>
      </c>
      <c r="I130" s="8">
        <f>Engagement_Summary[[#This Row],[New_Followers]]-Engagement_Summary[[#This Row],[Unfollows]]</f>
        <v>1301</v>
      </c>
      <c r="J130" s="8" t="str">
        <f>INDEX(Engagement_Summary[Week_Start_Date],MATCH(MAX(I130:I329),I130:I329,0))&amp; "-" &amp; INDEX(B130:B329,MATCH(MAX(I130:I329),I130:I329,0))</f>
        <v>45572-YouTube</v>
      </c>
    </row>
    <row r="131" spans="1:10">
      <c r="A131" s="15">
        <v>45747</v>
      </c>
      <c r="B131" s="9" t="s">
        <v>15</v>
      </c>
      <c r="C131" s="8">
        <v>591</v>
      </c>
      <c r="D131" s="8">
        <v>155</v>
      </c>
      <c r="E131" s="8">
        <v>138521</v>
      </c>
      <c r="F131" s="8">
        <v>7.85</v>
      </c>
      <c r="G131" s="8">
        <v>19054</v>
      </c>
      <c r="H131" s="41">
        <f>Engagement_Summary[[#This Row],[Engagement_Rate]]/Engagement_Summary[[#This Row],[Ad_Spend]]*100</f>
        <v>4.1198698436023931E-2</v>
      </c>
      <c r="I131" s="8">
        <f>Engagement_Summary[[#This Row],[New_Followers]]-Engagement_Summary[[#This Row],[Unfollows]]</f>
        <v>436</v>
      </c>
      <c r="J131" s="8" t="str">
        <f>INDEX(Engagement_Summary[Week_Start_Date],MATCH(MAX(I131:I330),I131:I330,0))&amp; "-" &amp; INDEX(B131:B330,MATCH(MAX(I131:I330),I131:I330,0))</f>
        <v>45565-YouTube</v>
      </c>
    </row>
    <row r="132" spans="1:10">
      <c r="A132" s="15">
        <v>45747</v>
      </c>
      <c r="B132" s="9" t="s">
        <v>27</v>
      </c>
      <c r="C132" s="8">
        <v>1232</v>
      </c>
      <c r="D132" s="8">
        <v>254</v>
      </c>
      <c r="E132" s="8">
        <v>107718</v>
      </c>
      <c r="F132" s="8">
        <v>9.7100000000000009</v>
      </c>
      <c r="G132" s="8">
        <v>13740</v>
      </c>
      <c r="H132" s="41">
        <f>Engagement_Summary[[#This Row],[Engagement_Rate]]/Engagement_Summary[[#This Row],[Ad_Spend]]*100</f>
        <v>7.0669577874818049E-2</v>
      </c>
      <c r="I132" s="8">
        <f>Engagement_Summary[[#This Row],[New_Followers]]-Engagement_Summary[[#This Row],[Unfollows]]</f>
        <v>978</v>
      </c>
      <c r="J132" s="8" t="str">
        <f>INDEX(Engagement_Summary[Week_Start_Date],MATCH(MAX(I132:I331),I132:I331,0))&amp; "-" &amp; INDEX(B132:B331,MATCH(MAX(I132:I331),I132:I331,0))</f>
        <v>45565-YouTube</v>
      </c>
    </row>
    <row r="133" spans="1:10">
      <c r="A133" s="15">
        <v>45747</v>
      </c>
      <c r="B133" s="9" t="s">
        <v>34</v>
      </c>
      <c r="C133" s="8">
        <v>1425</v>
      </c>
      <c r="D133" s="8">
        <v>58</v>
      </c>
      <c r="E133" s="8">
        <v>202234</v>
      </c>
      <c r="F133" s="8">
        <v>6.67</v>
      </c>
      <c r="G133" s="8">
        <v>18442</v>
      </c>
      <c r="H133" s="41">
        <f>Engagement_Summary[[#This Row],[Engagement_Rate]]/Engagement_Summary[[#This Row],[Ad_Spend]]*100</f>
        <v>3.6167443878104326E-2</v>
      </c>
      <c r="I133" s="8">
        <f>Engagement_Summary[[#This Row],[New_Followers]]-Engagement_Summary[[#This Row],[Unfollows]]</f>
        <v>1367</v>
      </c>
      <c r="J133" s="8" t="str">
        <f>INDEX(Engagement_Summary[Week_Start_Date],MATCH(MAX(I133:I332),I133:I332,0))&amp; "-" &amp; INDEX(B133:B332,MATCH(MAX(I133:I332),I133:I332,0))</f>
        <v>45565-YouTube</v>
      </c>
    </row>
    <row r="134" spans="1:10">
      <c r="A134" s="15">
        <v>45754</v>
      </c>
      <c r="B134" s="9" t="s">
        <v>15</v>
      </c>
      <c r="C134" s="8">
        <v>1417</v>
      </c>
      <c r="D134" s="8">
        <v>80</v>
      </c>
      <c r="E134" s="8">
        <v>340987</v>
      </c>
      <c r="F134" s="8">
        <v>6.13</v>
      </c>
      <c r="G134" s="8">
        <v>10104</v>
      </c>
      <c r="H134" s="41">
        <f>Engagement_Summary[[#This Row],[Engagement_Rate]]/Engagement_Summary[[#This Row],[Ad_Spend]]*100</f>
        <v>6.0669041963578779E-2</v>
      </c>
      <c r="I134" s="8">
        <f>Engagement_Summary[[#This Row],[New_Followers]]-Engagement_Summary[[#This Row],[Unfollows]]</f>
        <v>1337</v>
      </c>
      <c r="J134" s="8" t="str">
        <f>INDEX(Engagement_Summary[Week_Start_Date],MATCH(MAX(I134:I333),I134:I333,0))&amp; "-" &amp; INDEX(B134:B333,MATCH(MAX(I134:I333),I134:I333,0))</f>
        <v>45558-YouTube</v>
      </c>
    </row>
    <row r="135" spans="1:10">
      <c r="A135" s="15">
        <v>45754</v>
      </c>
      <c r="B135" s="9" t="s">
        <v>27</v>
      </c>
      <c r="C135" s="8">
        <v>1222</v>
      </c>
      <c r="D135" s="8">
        <v>208</v>
      </c>
      <c r="E135" s="8">
        <v>340098</v>
      </c>
      <c r="F135" s="8">
        <v>7.34</v>
      </c>
      <c r="G135" s="8">
        <v>21771</v>
      </c>
      <c r="H135" s="41">
        <f>Engagement_Summary[[#This Row],[Engagement_Rate]]/Engagement_Summary[[#This Row],[Ad_Spend]]*100</f>
        <v>3.3714574433879929E-2</v>
      </c>
      <c r="I135" s="8">
        <f>Engagement_Summary[[#This Row],[New_Followers]]-Engagement_Summary[[#This Row],[Unfollows]]</f>
        <v>1014</v>
      </c>
      <c r="J135" s="8" t="str">
        <f>INDEX(Engagement_Summary[Week_Start_Date],MATCH(MAX(I135:I334),I135:I334,0))&amp; "-" &amp; INDEX(B135:B334,MATCH(MAX(I135:I334),I135:I334,0))</f>
        <v>45558-YouTube</v>
      </c>
    </row>
    <row r="136" spans="1:10">
      <c r="A136" s="15">
        <v>45754</v>
      </c>
      <c r="B136" s="9" t="s">
        <v>34</v>
      </c>
      <c r="C136" s="8">
        <v>1071</v>
      </c>
      <c r="D136" s="8">
        <v>131</v>
      </c>
      <c r="E136" s="8">
        <v>254727</v>
      </c>
      <c r="F136" s="8">
        <v>6.87</v>
      </c>
      <c r="G136" s="8">
        <v>22191</v>
      </c>
      <c r="H136" s="41">
        <f>Engagement_Summary[[#This Row],[Engagement_Rate]]/Engagement_Summary[[#This Row],[Ad_Spend]]*100</f>
        <v>3.0958496687846424E-2</v>
      </c>
      <c r="I136" s="8">
        <f>Engagement_Summary[[#This Row],[New_Followers]]-Engagement_Summary[[#This Row],[Unfollows]]</f>
        <v>940</v>
      </c>
      <c r="J136" s="8" t="str">
        <f>INDEX(Engagement_Summary[Week_Start_Date],MATCH(MAX(I136:I335),I136:I335,0))&amp; "-" &amp; INDEX(B136:B335,MATCH(MAX(I136:I335),I136:I335,0))</f>
        <v>45558-YouTube</v>
      </c>
    </row>
    <row r="137" spans="1:10">
      <c r="A137" s="15">
        <v>45761</v>
      </c>
      <c r="B137" s="9" t="s">
        <v>15</v>
      </c>
      <c r="C137" s="8">
        <v>772</v>
      </c>
      <c r="D137" s="8">
        <v>82</v>
      </c>
      <c r="E137" s="8">
        <v>345659</v>
      </c>
      <c r="F137" s="8">
        <v>3.52</v>
      </c>
      <c r="G137" s="8">
        <v>27753</v>
      </c>
      <c r="H137" s="41">
        <f>Engagement_Summary[[#This Row],[Engagement_Rate]]/Engagement_Summary[[#This Row],[Ad_Spend]]*100</f>
        <v>1.2683313515655966E-2</v>
      </c>
      <c r="I137" s="8">
        <f>Engagement_Summary[[#This Row],[New_Followers]]-Engagement_Summary[[#This Row],[Unfollows]]</f>
        <v>690</v>
      </c>
      <c r="J137" s="8" t="str">
        <f>INDEX(Engagement_Summary[Week_Start_Date],MATCH(MAX(I137:I336),I137:I336,0))&amp; "-" &amp; INDEX(B137:B336,MATCH(MAX(I137:I336),I137:I336,0))</f>
        <v>45551-YouTube</v>
      </c>
    </row>
    <row r="138" spans="1:10">
      <c r="A138" s="15">
        <v>45761</v>
      </c>
      <c r="B138" s="9" t="s">
        <v>27</v>
      </c>
      <c r="C138" s="8">
        <v>1472</v>
      </c>
      <c r="D138" s="8">
        <v>137</v>
      </c>
      <c r="E138" s="8">
        <v>213950</v>
      </c>
      <c r="F138" s="8">
        <v>6.96</v>
      </c>
      <c r="G138" s="8">
        <v>23736</v>
      </c>
      <c r="H138" s="41">
        <f>Engagement_Summary[[#This Row],[Engagement_Rate]]/Engagement_Summary[[#This Row],[Ad_Spend]]*100</f>
        <v>2.9322548028311426E-2</v>
      </c>
      <c r="I138" s="8">
        <f>Engagement_Summary[[#This Row],[New_Followers]]-Engagement_Summary[[#This Row],[Unfollows]]</f>
        <v>1335</v>
      </c>
      <c r="J138" s="8" t="str">
        <f>INDEX(Engagement_Summary[Week_Start_Date],MATCH(MAX(I138:I337),I138:I337,0))&amp; "-" &amp; INDEX(B138:B337,MATCH(MAX(I138:I337),I138:I337,0))</f>
        <v>45551-YouTube</v>
      </c>
    </row>
    <row r="139" spans="1:10">
      <c r="A139" s="15">
        <v>45761</v>
      </c>
      <c r="B139" s="9" t="s">
        <v>34</v>
      </c>
      <c r="C139" s="8">
        <v>1472</v>
      </c>
      <c r="D139" s="8">
        <v>281</v>
      </c>
      <c r="E139" s="8">
        <v>258115</v>
      </c>
      <c r="F139" s="8">
        <v>7.23</v>
      </c>
      <c r="G139" s="8">
        <v>27393</v>
      </c>
      <c r="H139" s="41">
        <f>Engagement_Summary[[#This Row],[Engagement_Rate]]/Engagement_Summary[[#This Row],[Ad_Spend]]*100</f>
        <v>2.6393604205453947E-2</v>
      </c>
      <c r="I139" s="8">
        <f>Engagement_Summary[[#This Row],[New_Followers]]-Engagement_Summary[[#This Row],[Unfollows]]</f>
        <v>1191</v>
      </c>
      <c r="J139" s="8" t="str">
        <f>INDEX(Engagement_Summary[Week_Start_Date],MATCH(MAX(I139:I338),I139:I338,0))&amp; "-" &amp; INDEX(B139:B338,MATCH(MAX(I139:I338),I139:I338,0))</f>
        <v>45551-YouTube</v>
      </c>
    </row>
    <row r="140" spans="1:10">
      <c r="A140" s="15">
        <v>45768</v>
      </c>
      <c r="B140" s="9" t="s">
        <v>15</v>
      </c>
      <c r="C140" s="8">
        <v>585</v>
      </c>
      <c r="D140" s="8">
        <v>232</v>
      </c>
      <c r="E140" s="8">
        <v>321258</v>
      </c>
      <c r="F140" s="8">
        <v>7.42</v>
      </c>
      <c r="G140" s="8">
        <v>10343</v>
      </c>
      <c r="H140" s="41">
        <f>Engagement_Summary[[#This Row],[Engagement_Rate]]/Engagement_Summary[[#This Row],[Ad_Spend]]*100</f>
        <v>7.1739340616842312E-2</v>
      </c>
      <c r="I140" s="8">
        <f>Engagement_Summary[[#This Row],[New_Followers]]-Engagement_Summary[[#This Row],[Unfollows]]</f>
        <v>353</v>
      </c>
      <c r="J140" s="8" t="str">
        <f>INDEX(Engagement_Summary[Week_Start_Date],MATCH(MAX(I140:I339),I140:I339,0))&amp; "-" &amp; INDEX(B140:B339,MATCH(MAX(I140:I339),I140:I339,0))</f>
        <v>45544-YouTube</v>
      </c>
    </row>
    <row r="141" spans="1:10">
      <c r="A141" s="15">
        <v>45768</v>
      </c>
      <c r="B141" s="9" t="s">
        <v>27</v>
      </c>
      <c r="C141" s="8">
        <v>747</v>
      </c>
      <c r="D141" s="8">
        <v>261</v>
      </c>
      <c r="E141" s="8">
        <v>338650</v>
      </c>
      <c r="F141" s="8">
        <v>7.73</v>
      </c>
      <c r="G141" s="8">
        <v>25259</v>
      </c>
      <c r="H141" s="41">
        <f>Engagement_Summary[[#This Row],[Engagement_Rate]]/Engagement_Summary[[#This Row],[Ad_Spend]]*100</f>
        <v>3.0602953402747539E-2</v>
      </c>
      <c r="I141" s="8">
        <f>Engagement_Summary[[#This Row],[New_Followers]]-Engagement_Summary[[#This Row],[Unfollows]]</f>
        <v>486</v>
      </c>
      <c r="J141" s="8" t="str">
        <f>INDEX(Engagement_Summary[Week_Start_Date],MATCH(MAX(I141:I340),I141:I340,0))&amp; "-" &amp; INDEX(B141:B340,MATCH(MAX(I141:I340),I141:I340,0))</f>
        <v>45544-YouTube</v>
      </c>
    </row>
    <row r="142" spans="1:10">
      <c r="A142" s="15">
        <v>45768</v>
      </c>
      <c r="B142" s="9" t="s">
        <v>34</v>
      </c>
      <c r="C142" s="8">
        <v>1113</v>
      </c>
      <c r="D142" s="8">
        <v>224</v>
      </c>
      <c r="E142" s="8">
        <v>272989</v>
      </c>
      <c r="F142" s="8">
        <v>5.13</v>
      </c>
      <c r="G142" s="8">
        <v>24827</v>
      </c>
      <c r="H142" s="41">
        <f>Engagement_Summary[[#This Row],[Engagement_Rate]]/Engagement_Summary[[#This Row],[Ad_Spend]]*100</f>
        <v>2.0662987876102629E-2</v>
      </c>
      <c r="I142" s="8">
        <f>Engagement_Summary[[#This Row],[New_Followers]]-Engagement_Summary[[#This Row],[Unfollows]]</f>
        <v>889</v>
      </c>
      <c r="J142" s="8" t="str">
        <f>INDEX(Engagement_Summary[Week_Start_Date],MATCH(MAX(I142:I341),I142:I341,0))&amp; "-" &amp; INDEX(B142:B341,MATCH(MAX(I142:I341),I142:I341,0))</f>
        <v>45544-YouTube</v>
      </c>
    </row>
    <row r="143" spans="1:10">
      <c r="A143" s="15">
        <v>45775</v>
      </c>
      <c r="B143" s="9" t="s">
        <v>15</v>
      </c>
      <c r="C143" s="8">
        <v>1100</v>
      </c>
      <c r="D143" s="8">
        <v>117</v>
      </c>
      <c r="E143" s="8">
        <v>260204</v>
      </c>
      <c r="F143" s="8">
        <v>4.4000000000000004</v>
      </c>
      <c r="G143" s="8">
        <v>11908</v>
      </c>
      <c r="H143" s="41">
        <f>Engagement_Summary[[#This Row],[Engagement_Rate]]/Engagement_Summary[[#This Row],[Ad_Spend]]*100</f>
        <v>3.6949949613705076E-2</v>
      </c>
      <c r="I143" s="8">
        <f>Engagement_Summary[[#This Row],[New_Followers]]-Engagement_Summary[[#This Row],[Unfollows]]</f>
        <v>983</v>
      </c>
      <c r="J143" s="8" t="str">
        <f>INDEX(Engagement_Summary[Week_Start_Date],MATCH(MAX(I143:I342),I143:I342,0))&amp; "-" &amp; INDEX(B143:B342,MATCH(MAX(I143:I342),I143:I342,0))</f>
        <v>45537-YouTube</v>
      </c>
    </row>
    <row r="144" spans="1:10">
      <c r="A144" s="15">
        <v>45775</v>
      </c>
      <c r="B144" s="9" t="s">
        <v>27</v>
      </c>
      <c r="C144" s="8">
        <v>751</v>
      </c>
      <c r="D144" s="8">
        <v>170</v>
      </c>
      <c r="E144" s="8">
        <v>283278</v>
      </c>
      <c r="F144" s="8">
        <v>3.49</v>
      </c>
      <c r="G144" s="8">
        <v>11005</v>
      </c>
      <c r="H144" s="41">
        <f>Engagement_Summary[[#This Row],[Engagement_Rate]]/Engagement_Summary[[#This Row],[Ad_Spend]]*100</f>
        <v>3.1712857791912769E-2</v>
      </c>
      <c r="I144" s="8">
        <f>Engagement_Summary[[#This Row],[New_Followers]]-Engagement_Summary[[#This Row],[Unfollows]]</f>
        <v>581</v>
      </c>
      <c r="J144" s="8" t="str">
        <f>INDEX(Engagement_Summary[Week_Start_Date],MATCH(MAX(I144:I343),I144:I343,0))&amp; "-" &amp; INDEX(B144:B343,MATCH(MAX(I144:I343),I144:I343,0))</f>
        <v>45537-YouTube</v>
      </c>
    </row>
    <row r="145" spans="1:10">
      <c r="A145" s="15">
        <v>45775</v>
      </c>
      <c r="B145" s="9" t="s">
        <v>34</v>
      </c>
      <c r="C145" s="8">
        <v>864</v>
      </c>
      <c r="D145" s="8">
        <v>50</v>
      </c>
      <c r="E145" s="8">
        <v>277445</v>
      </c>
      <c r="F145" s="8">
        <v>3.57</v>
      </c>
      <c r="G145" s="8">
        <v>26333</v>
      </c>
      <c r="H145" s="41">
        <f>Engagement_Summary[[#This Row],[Engagement_Rate]]/Engagement_Summary[[#This Row],[Ad_Spend]]*100</f>
        <v>1.3557133634602968E-2</v>
      </c>
      <c r="I145" s="8">
        <f>Engagement_Summary[[#This Row],[New_Followers]]-Engagement_Summary[[#This Row],[Unfollows]]</f>
        <v>814</v>
      </c>
      <c r="J145" s="8" t="str">
        <f>INDEX(Engagement_Summary[Week_Start_Date],MATCH(MAX(I145:I344),I145:I344,0))&amp; "-" &amp; INDEX(B145:B344,MATCH(MAX(I145:I344),I145:I344,0))</f>
        <v>45537-YouTube</v>
      </c>
    </row>
    <row r="146" spans="1:10">
      <c r="A146" s="15">
        <v>45782</v>
      </c>
      <c r="B146" s="9" t="s">
        <v>15</v>
      </c>
      <c r="C146" s="8">
        <v>1146</v>
      </c>
      <c r="D146" s="8">
        <v>227</v>
      </c>
      <c r="E146" s="8">
        <v>353781</v>
      </c>
      <c r="F146" s="8">
        <v>6.41</v>
      </c>
      <c r="G146" s="8">
        <v>5495</v>
      </c>
      <c r="H146" s="41">
        <f>Engagement_Summary[[#This Row],[Engagement_Rate]]/Engagement_Summary[[#This Row],[Ad_Spend]]*100</f>
        <v>0.11665150136487717</v>
      </c>
      <c r="I146" s="8">
        <f>Engagement_Summary[[#This Row],[New_Followers]]-Engagement_Summary[[#This Row],[Unfollows]]</f>
        <v>919</v>
      </c>
      <c r="J146" s="8" t="str">
        <f>INDEX(Engagement_Summary[Week_Start_Date],MATCH(MAX(I146:I345),I146:I345,0))&amp; "-" &amp; INDEX(B146:B345,MATCH(MAX(I146:I345),I146:I345,0))</f>
        <v>45530-YouTube</v>
      </c>
    </row>
    <row r="147" spans="1:10">
      <c r="A147" s="15">
        <v>45782</v>
      </c>
      <c r="B147" s="9" t="s">
        <v>27</v>
      </c>
      <c r="C147" s="8">
        <v>883</v>
      </c>
      <c r="D147" s="8">
        <v>207</v>
      </c>
      <c r="E147" s="8">
        <v>265019</v>
      </c>
      <c r="F147" s="8">
        <v>6.04</v>
      </c>
      <c r="G147" s="8">
        <v>15655</v>
      </c>
      <c r="H147" s="41">
        <f>Engagement_Summary[[#This Row],[Engagement_Rate]]/Engagement_Summary[[#This Row],[Ad_Spend]]*100</f>
        <v>3.8581922708399871E-2</v>
      </c>
      <c r="I147" s="8">
        <f>Engagement_Summary[[#This Row],[New_Followers]]-Engagement_Summary[[#This Row],[Unfollows]]</f>
        <v>676</v>
      </c>
      <c r="J147" s="8" t="str">
        <f>INDEX(Engagement_Summary[Week_Start_Date],MATCH(MAX(I147:I346),I147:I346,0))&amp; "-" &amp; INDEX(B147:B346,MATCH(MAX(I147:I346),I147:I346,0))</f>
        <v>45530-YouTube</v>
      </c>
    </row>
    <row r="148" spans="1:10">
      <c r="A148" s="15">
        <v>45782</v>
      </c>
      <c r="B148" s="9" t="s">
        <v>34</v>
      </c>
      <c r="C148" s="8">
        <v>622</v>
      </c>
      <c r="D148" s="8">
        <v>163</v>
      </c>
      <c r="E148" s="8">
        <v>231925</v>
      </c>
      <c r="F148" s="8">
        <v>9.18</v>
      </c>
      <c r="G148" s="8">
        <v>13763</v>
      </c>
      <c r="H148" s="41">
        <f>Engagement_Summary[[#This Row],[Engagement_Rate]]/Engagement_Summary[[#This Row],[Ad_Spend]]*100</f>
        <v>6.6700574002761026E-2</v>
      </c>
      <c r="I148" s="8">
        <f>Engagement_Summary[[#This Row],[New_Followers]]-Engagement_Summary[[#This Row],[Unfollows]]</f>
        <v>459</v>
      </c>
      <c r="J148" s="8" t="str">
        <f>INDEX(Engagement_Summary[Week_Start_Date],MATCH(MAX(I148:I347),I148:I347,0))&amp; "-" &amp; INDEX(B148:B347,MATCH(MAX(I148:I347),I148:I347,0))</f>
        <v>45530-YouTube</v>
      </c>
    </row>
    <row r="149" spans="1:10">
      <c r="A149" s="15">
        <v>45789</v>
      </c>
      <c r="B149" s="9" t="s">
        <v>15</v>
      </c>
      <c r="C149" s="8">
        <v>837</v>
      </c>
      <c r="D149" s="8">
        <v>261</v>
      </c>
      <c r="E149" s="8">
        <v>366149</v>
      </c>
      <c r="F149" s="8">
        <v>6.54</v>
      </c>
      <c r="G149" s="8">
        <v>26073</v>
      </c>
      <c r="H149" s="41">
        <f>Engagement_Summary[[#This Row],[Engagement_Rate]]/Engagement_Summary[[#This Row],[Ad_Spend]]*100</f>
        <v>2.5083419629501787E-2</v>
      </c>
      <c r="I149" s="8">
        <f>Engagement_Summary[[#This Row],[New_Followers]]-Engagement_Summary[[#This Row],[Unfollows]]</f>
        <v>576</v>
      </c>
      <c r="J149" s="8" t="str">
        <f>INDEX(Engagement_Summary[Week_Start_Date],MATCH(MAX(I149:I348),I149:I348,0))&amp; "-" &amp; INDEX(B149:B348,MATCH(MAX(I149:I348),I149:I348,0))</f>
        <v>45523-YouTube</v>
      </c>
    </row>
    <row r="150" spans="1:10">
      <c r="A150" s="15">
        <v>45789</v>
      </c>
      <c r="B150" s="9" t="s">
        <v>27</v>
      </c>
      <c r="C150" s="8">
        <v>544</v>
      </c>
      <c r="D150" s="8">
        <v>97</v>
      </c>
      <c r="E150" s="8">
        <v>168375</v>
      </c>
      <c r="F150" s="8">
        <v>8.66</v>
      </c>
      <c r="G150" s="8">
        <v>12774</v>
      </c>
      <c r="H150" s="41">
        <f>Engagement_Summary[[#This Row],[Engagement_Rate]]/Engagement_Summary[[#This Row],[Ad_Spend]]*100</f>
        <v>6.7793956474087994E-2</v>
      </c>
      <c r="I150" s="8">
        <f>Engagement_Summary[[#This Row],[New_Followers]]-Engagement_Summary[[#This Row],[Unfollows]]</f>
        <v>447</v>
      </c>
      <c r="J150" s="8" t="str">
        <f>INDEX(Engagement_Summary[Week_Start_Date],MATCH(MAX(I150:I349),I150:I349,0))&amp; "-" &amp; INDEX(B150:B349,MATCH(MAX(I150:I349),I150:I349,0))</f>
        <v>45523-YouTube</v>
      </c>
    </row>
    <row r="151" spans="1:10">
      <c r="A151" s="15">
        <v>45789</v>
      </c>
      <c r="B151" s="9" t="s">
        <v>34</v>
      </c>
      <c r="C151" s="8">
        <v>624</v>
      </c>
      <c r="D151" s="8">
        <v>247</v>
      </c>
      <c r="E151" s="8">
        <v>252763</v>
      </c>
      <c r="F151" s="8">
        <v>3.89</v>
      </c>
      <c r="G151" s="8">
        <v>19000</v>
      </c>
      <c r="H151" s="41">
        <f>Engagement_Summary[[#This Row],[Engagement_Rate]]/Engagement_Summary[[#This Row],[Ad_Spend]]*100</f>
        <v>2.0473684210526318E-2</v>
      </c>
      <c r="I151" s="8">
        <f>Engagement_Summary[[#This Row],[New_Followers]]-Engagement_Summary[[#This Row],[Unfollows]]</f>
        <v>377</v>
      </c>
      <c r="J151" s="8" t="str">
        <f>INDEX(Engagement_Summary[Week_Start_Date],MATCH(MAX(I151:I350),I151:I350,0))&amp; "-" &amp; INDEX(B151:B350,MATCH(MAX(I151:I350),I151:I350,0))</f>
        <v>45523-YouTube</v>
      </c>
    </row>
    <row r="152" spans="1:10">
      <c r="A152" s="15">
        <v>45796</v>
      </c>
      <c r="B152" s="9" t="s">
        <v>15</v>
      </c>
      <c r="C152" s="8">
        <v>1073</v>
      </c>
      <c r="D152" s="8">
        <v>141</v>
      </c>
      <c r="E152" s="8">
        <v>118393</v>
      </c>
      <c r="F152" s="8">
        <v>7.95</v>
      </c>
      <c r="G152" s="8">
        <v>14051</v>
      </c>
      <c r="H152" s="41">
        <f>Engagement_Summary[[#This Row],[Engagement_Rate]]/Engagement_Summary[[#This Row],[Ad_Spend]]*100</f>
        <v>5.6579602875240199E-2</v>
      </c>
      <c r="I152" s="8">
        <f>Engagement_Summary[[#This Row],[New_Followers]]-Engagement_Summary[[#This Row],[Unfollows]]</f>
        <v>932</v>
      </c>
      <c r="J152" s="8" t="str">
        <f>INDEX(Engagement_Summary[Week_Start_Date],MATCH(MAX(I152:I351),I152:I351,0))&amp; "-" &amp; INDEX(B152:B351,MATCH(MAX(I152:I351),I152:I351,0))</f>
        <v>45516-YouTube</v>
      </c>
    </row>
    <row r="153" spans="1:10">
      <c r="A153" s="15">
        <v>45796</v>
      </c>
      <c r="B153" s="9" t="s">
        <v>27</v>
      </c>
      <c r="C153" s="8">
        <v>1430</v>
      </c>
      <c r="D153" s="8">
        <v>74</v>
      </c>
      <c r="E153" s="8">
        <v>327012</v>
      </c>
      <c r="F153" s="8">
        <v>6.66</v>
      </c>
      <c r="G153" s="8">
        <v>27782</v>
      </c>
      <c r="H153" s="41">
        <f>Engagement_Summary[[#This Row],[Engagement_Rate]]/Engagement_Summary[[#This Row],[Ad_Spend]]*100</f>
        <v>2.3972356201857319E-2</v>
      </c>
      <c r="I153" s="8">
        <f>Engagement_Summary[[#This Row],[New_Followers]]-Engagement_Summary[[#This Row],[Unfollows]]</f>
        <v>1356</v>
      </c>
      <c r="J153" s="8" t="str">
        <f>INDEX(Engagement_Summary[Week_Start_Date],MATCH(MAX(I153:I352),I153:I352,0))&amp; "-" &amp; INDEX(B153:B352,MATCH(MAX(I153:I352),I153:I352,0))</f>
        <v>45516-YouTube</v>
      </c>
    </row>
    <row r="154" spans="1:10">
      <c r="A154" s="15">
        <v>45796</v>
      </c>
      <c r="B154" s="9" t="s">
        <v>34</v>
      </c>
      <c r="C154" s="8">
        <v>1358</v>
      </c>
      <c r="D154" s="8">
        <v>77</v>
      </c>
      <c r="E154" s="8">
        <v>169688</v>
      </c>
      <c r="F154" s="8">
        <v>5.25</v>
      </c>
      <c r="G154" s="8">
        <v>7859</v>
      </c>
      <c r="H154" s="41">
        <f>Engagement_Summary[[#This Row],[Engagement_Rate]]/Engagement_Summary[[#This Row],[Ad_Spend]]*100</f>
        <v>6.6802392161852658E-2</v>
      </c>
      <c r="I154" s="8">
        <f>Engagement_Summary[[#This Row],[New_Followers]]-Engagement_Summary[[#This Row],[Unfollows]]</f>
        <v>1281</v>
      </c>
      <c r="J154" s="8" t="str">
        <f>INDEX(Engagement_Summary[Week_Start_Date],MATCH(MAX(I154:I353),I154:I353,0))&amp; "-" &amp; INDEX(B154:B353,MATCH(MAX(I154:I353),I154:I353,0))</f>
        <v>45516-YouTube</v>
      </c>
    </row>
    <row r="155" spans="1:10">
      <c r="A155" s="15">
        <v>45803</v>
      </c>
      <c r="B155" s="9" t="s">
        <v>15</v>
      </c>
      <c r="C155" s="8">
        <v>1242</v>
      </c>
      <c r="D155" s="8">
        <v>201</v>
      </c>
      <c r="E155" s="8">
        <v>271935</v>
      </c>
      <c r="F155" s="8">
        <v>5.07</v>
      </c>
      <c r="G155" s="8">
        <v>15773</v>
      </c>
      <c r="H155" s="41">
        <f>Engagement_Summary[[#This Row],[Engagement_Rate]]/Engagement_Summary[[#This Row],[Ad_Spend]]*100</f>
        <v>3.2143536423001336E-2</v>
      </c>
      <c r="I155" s="8">
        <f>Engagement_Summary[[#This Row],[New_Followers]]-Engagement_Summary[[#This Row],[Unfollows]]</f>
        <v>1041</v>
      </c>
      <c r="J155" s="8" t="str">
        <f>INDEX(Engagement_Summary[Week_Start_Date],MATCH(MAX(I155:I354),I155:I354,0))&amp; "-" &amp; INDEX(B155:B354,MATCH(MAX(I155:I354),I155:I354,0))</f>
        <v>45509-YouTube</v>
      </c>
    </row>
    <row r="156" spans="1:10">
      <c r="A156" s="15">
        <v>45803</v>
      </c>
      <c r="B156" s="9" t="s">
        <v>27</v>
      </c>
      <c r="C156" s="8">
        <v>1389</v>
      </c>
      <c r="D156" s="8">
        <v>205</v>
      </c>
      <c r="E156" s="8">
        <v>315981</v>
      </c>
      <c r="F156" s="8">
        <v>7.62</v>
      </c>
      <c r="G156" s="8">
        <v>20595</v>
      </c>
      <c r="H156" s="41">
        <f>Engagement_Summary[[#This Row],[Engagement_Rate]]/Engagement_Summary[[#This Row],[Ad_Spend]]*100</f>
        <v>3.699927166788055E-2</v>
      </c>
      <c r="I156" s="8">
        <f>Engagement_Summary[[#This Row],[New_Followers]]-Engagement_Summary[[#This Row],[Unfollows]]</f>
        <v>1184</v>
      </c>
      <c r="J156" s="8" t="str">
        <f>INDEX(Engagement_Summary[Week_Start_Date],MATCH(MAX(I156:I355),I156:I355,0))&amp; "-" &amp; INDEX(B156:B355,MATCH(MAX(I156:I355),I156:I355,0))</f>
        <v>45509-YouTube</v>
      </c>
    </row>
    <row r="157" spans="1:10">
      <c r="A157" s="15">
        <v>45803</v>
      </c>
      <c r="B157" s="9" t="s">
        <v>34</v>
      </c>
      <c r="C157" s="8">
        <v>826</v>
      </c>
      <c r="D157" s="8">
        <v>142</v>
      </c>
      <c r="E157" s="8">
        <v>341016</v>
      </c>
      <c r="F157" s="8">
        <v>7.44</v>
      </c>
      <c r="G157" s="8">
        <v>12031</v>
      </c>
      <c r="H157" s="41">
        <f>Engagement_Summary[[#This Row],[Engagement_Rate]]/Engagement_Summary[[#This Row],[Ad_Spend]]*100</f>
        <v>6.1840246031086364E-2</v>
      </c>
      <c r="I157" s="8">
        <f>Engagement_Summary[[#This Row],[New_Followers]]-Engagement_Summary[[#This Row],[Unfollows]]</f>
        <v>684</v>
      </c>
      <c r="J157" s="8" t="str">
        <f>INDEX(Engagement_Summary[Week_Start_Date],MATCH(MAX(I157:I356),I157:I356,0))&amp; "-" &amp; INDEX(B157:B356,MATCH(MAX(I157:I356),I157:I356,0))</f>
        <v>45509-YouTube</v>
      </c>
    </row>
    <row r="158" spans="1:10">
      <c r="A158" s="15">
        <v>45810</v>
      </c>
      <c r="B158" s="9" t="s">
        <v>15</v>
      </c>
      <c r="C158" s="8">
        <v>618</v>
      </c>
      <c r="D158" s="8">
        <v>264</v>
      </c>
      <c r="E158" s="8">
        <v>285164</v>
      </c>
      <c r="F158" s="8">
        <v>4.8600000000000003</v>
      </c>
      <c r="G158" s="8">
        <v>15128</v>
      </c>
      <c r="H158" s="41">
        <f>Engagement_Summary[[#This Row],[Engagement_Rate]]/Engagement_Summary[[#This Row],[Ad_Spend]]*100</f>
        <v>3.2125859333685877E-2</v>
      </c>
      <c r="I158" s="8">
        <f>Engagement_Summary[[#This Row],[New_Followers]]-Engagement_Summary[[#This Row],[Unfollows]]</f>
        <v>354</v>
      </c>
      <c r="J158" s="8" t="str">
        <f>INDEX(Engagement_Summary[Week_Start_Date],MATCH(MAX(I158:I357),I158:I357,0))&amp; "-" &amp; INDEX(B158:B357,MATCH(MAX(I158:I357),I158:I357,0))</f>
        <v>45502-YouTube</v>
      </c>
    </row>
    <row r="159" spans="1:10">
      <c r="A159" s="15">
        <v>45810</v>
      </c>
      <c r="B159" s="9" t="s">
        <v>27</v>
      </c>
      <c r="C159" s="8">
        <v>1419</v>
      </c>
      <c r="D159" s="8">
        <v>293</v>
      </c>
      <c r="E159" s="8">
        <v>116632</v>
      </c>
      <c r="F159" s="8">
        <v>6.93</v>
      </c>
      <c r="G159" s="8">
        <v>11826</v>
      </c>
      <c r="H159" s="41">
        <f>Engagement_Summary[[#This Row],[Engagement_Rate]]/Engagement_Summary[[#This Row],[Ad_Spend]]*100</f>
        <v>5.8599695585996953E-2</v>
      </c>
      <c r="I159" s="8">
        <f>Engagement_Summary[[#This Row],[New_Followers]]-Engagement_Summary[[#This Row],[Unfollows]]</f>
        <v>1126</v>
      </c>
      <c r="J159" s="8" t="str">
        <f>INDEX(Engagement_Summary[Week_Start_Date],MATCH(MAX(I159:I358),I159:I358,0))&amp; "-" &amp; INDEX(B159:B358,MATCH(MAX(I159:I358),I159:I358,0))</f>
        <v>45502-YouTube</v>
      </c>
    </row>
    <row r="160" spans="1:10">
      <c r="A160" s="15">
        <v>45810</v>
      </c>
      <c r="B160" s="9" t="s">
        <v>34</v>
      </c>
      <c r="C160" s="8">
        <v>637</v>
      </c>
      <c r="D160" s="8">
        <v>68</v>
      </c>
      <c r="E160" s="8">
        <v>115694</v>
      </c>
      <c r="F160" s="8">
        <v>9.99</v>
      </c>
      <c r="G160" s="8">
        <v>12562</v>
      </c>
      <c r="H160" s="41">
        <f>Engagement_Summary[[#This Row],[Engagement_Rate]]/Engagement_Summary[[#This Row],[Ad_Spend]]*100</f>
        <v>7.9525553255850978E-2</v>
      </c>
      <c r="I160" s="8">
        <f>Engagement_Summary[[#This Row],[New_Followers]]-Engagement_Summary[[#This Row],[Unfollows]]</f>
        <v>569</v>
      </c>
      <c r="J160" s="8" t="str">
        <f>INDEX(Engagement_Summary[Week_Start_Date],MATCH(MAX(I160:I359),I160:I359,0))&amp; "-" &amp; INDEX(B160:B359,MATCH(MAX(I160:I359),I160:I359,0))</f>
        <v>45502-YouTube</v>
      </c>
    </row>
    <row r="161" spans="1:10">
      <c r="A161" s="15">
        <v>45817</v>
      </c>
      <c r="B161" s="9" t="s">
        <v>15</v>
      </c>
      <c r="C161" s="8">
        <v>917</v>
      </c>
      <c r="D161" s="8">
        <v>187</v>
      </c>
      <c r="E161" s="8">
        <v>64444</v>
      </c>
      <c r="F161" s="8">
        <v>5.22</v>
      </c>
      <c r="G161" s="8">
        <v>13013</v>
      </c>
      <c r="H161" s="41">
        <f>Engagement_Summary[[#This Row],[Engagement_Rate]]/Engagement_Summary[[#This Row],[Ad_Spend]]*100</f>
        <v>4.0113732421424728E-2</v>
      </c>
      <c r="I161" s="8">
        <f>Engagement_Summary[[#This Row],[New_Followers]]-Engagement_Summary[[#This Row],[Unfollows]]</f>
        <v>730</v>
      </c>
      <c r="J161" s="8" t="str">
        <f>INDEX(Engagement_Summary[Week_Start_Date],MATCH(MAX(I161:I360),I161:I360,0))&amp; "-" &amp; INDEX(B161:B360,MATCH(MAX(I161:I360),I161:I360,0))</f>
        <v>45495-YouTube</v>
      </c>
    </row>
    <row r="162" spans="1:10">
      <c r="A162" s="15">
        <v>45817</v>
      </c>
      <c r="B162" s="9" t="s">
        <v>27</v>
      </c>
      <c r="C162" s="8">
        <v>810</v>
      </c>
      <c r="D162" s="8">
        <v>232</v>
      </c>
      <c r="E162" s="8">
        <v>362559</v>
      </c>
      <c r="F162" s="8">
        <v>5.17</v>
      </c>
      <c r="G162" s="8">
        <v>12937</v>
      </c>
      <c r="H162" s="41">
        <f>Engagement_Summary[[#This Row],[Engagement_Rate]]/Engagement_Summary[[#This Row],[Ad_Spend]]*100</f>
        <v>3.9962897116796785E-2</v>
      </c>
      <c r="I162" s="8">
        <f>Engagement_Summary[[#This Row],[New_Followers]]-Engagement_Summary[[#This Row],[Unfollows]]</f>
        <v>578</v>
      </c>
      <c r="J162" s="8" t="str">
        <f>INDEX(Engagement_Summary[Week_Start_Date],MATCH(MAX(I162:I361),I162:I361,0))&amp; "-" &amp; INDEX(B162:B361,MATCH(MAX(I162:I361),I162:I361,0))</f>
        <v>45495-YouTube</v>
      </c>
    </row>
    <row r="163" spans="1:10">
      <c r="A163" s="15">
        <v>45817</v>
      </c>
      <c r="B163" s="9" t="s">
        <v>34</v>
      </c>
      <c r="C163" s="8">
        <v>1183</v>
      </c>
      <c r="D163" s="8">
        <v>248</v>
      </c>
      <c r="E163" s="8">
        <v>226881</v>
      </c>
      <c r="F163" s="8">
        <v>5.17</v>
      </c>
      <c r="G163" s="8">
        <v>14534</v>
      </c>
      <c r="H163" s="41">
        <f>Engagement_Summary[[#This Row],[Engagement_Rate]]/Engagement_Summary[[#This Row],[Ad_Spend]]*100</f>
        <v>3.5571762763176001E-2</v>
      </c>
      <c r="I163" s="8">
        <f>Engagement_Summary[[#This Row],[New_Followers]]-Engagement_Summary[[#This Row],[Unfollows]]</f>
        <v>935</v>
      </c>
      <c r="J163" s="8" t="str">
        <f>INDEX(Engagement_Summary[Week_Start_Date],MATCH(MAX(I163:I362),I163:I362,0))&amp; "-" &amp; INDEX(B163:B362,MATCH(MAX(I163:I362),I163:I362,0))</f>
        <v>45495-YouTube</v>
      </c>
    </row>
    <row r="164" spans="1:10">
      <c r="A164" s="15">
        <v>45824</v>
      </c>
      <c r="B164" s="9" t="s">
        <v>15</v>
      </c>
      <c r="C164" s="8">
        <v>765</v>
      </c>
      <c r="D164" s="8">
        <v>67</v>
      </c>
      <c r="E164" s="8">
        <v>283537</v>
      </c>
      <c r="F164" s="8">
        <v>6.18</v>
      </c>
      <c r="G164" s="8">
        <v>8182</v>
      </c>
      <c r="H164" s="41">
        <f>Engagement_Summary[[#This Row],[Engagement_Rate]]/Engagement_Summary[[#This Row],[Ad_Spend]]*100</f>
        <v>7.5531654852114383E-2</v>
      </c>
      <c r="I164" s="8">
        <f>Engagement_Summary[[#This Row],[New_Followers]]-Engagement_Summary[[#This Row],[Unfollows]]</f>
        <v>698</v>
      </c>
      <c r="J164" s="8" t="str">
        <f>INDEX(Engagement_Summary[Week_Start_Date],MATCH(MAX(I164:I363),I164:I363,0))&amp; "-" &amp; INDEX(B164:B363,MATCH(MAX(I164:I363),I164:I363,0))</f>
        <v>45488-YouTube</v>
      </c>
    </row>
    <row r="165" spans="1:10">
      <c r="A165" s="15">
        <v>45824</v>
      </c>
      <c r="B165" s="9" t="s">
        <v>27</v>
      </c>
      <c r="C165" s="8">
        <v>540</v>
      </c>
      <c r="D165" s="8">
        <v>215</v>
      </c>
      <c r="E165" s="8">
        <v>62837</v>
      </c>
      <c r="F165" s="8">
        <v>5.3</v>
      </c>
      <c r="G165" s="8">
        <v>10615</v>
      </c>
      <c r="H165" s="41">
        <f>Engagement_Summary[[#This Row],[Engagement_Rate]]/Engagement_Summary[[#This Row],[Ad_Spend]]*100</f>
        <v>4.9929345266132831E-2</v>
      </c>
      <c r="I165" s="8">
        <f>Engagement_Summary[[#This Row],[New_Followers]]-Engagement_Summary[[#This Row],[Unfollows]]</f>
        <v>325</v>
      </c>
      <c r="J165" s="8" t="str">
        <f>INDEX(Engagement_Summary[Week_Start_Date],MATCH(MAX(I165:I364),I165:I364,0))&amp; "-" &amp; INDEX(B165:B364,MATCH(MAX(I165:I364),I165:I364,0))</f>
        <v>45488-YouTube</v>
      </c>
    </row>
    <row r="166" spans="1:10">
      <c r="A166" s="15">
        <v>45824</v>
      </c>
      <c r="B166" s="9" t="s">
        <v>34</v>
      </c>
      <c r="C166" s="8">
        <v>1145</v>
      </c>
      <c r="D166" s="8">
        <v>151</v>
      </c>
      <c r="E166" s="8">
        <v>182759</v>
      </c>
      <c r="F166" s="8">
        <v>5.99</v>
      </c>
      <c r="G166" s="8">
        <v>20109</v>
      </c>
      <c r="H166" s="41">
        <f>Engagement_Summary[[#This Row],[Engagement_Rate]]/Engagement_Summary[[#This Row],[Ad_Spend]]*100</f>
        <v>2.978765726789E-2</v>
      </c>
      <c r="I166" s="8">
        <f>Engagement_Summary[[#This Row],[New_Followers]]-Engagement_Summary[[#This Row],[Unfollows]]</f>
        <v>994</v>
      </c>
      <c r="J166" s="8" t="str">
        <f>INDEX(Engagement_Summary[Week_Start_Date],MATCH(MAX(I166:I365),I166:I365,0))&amp; "-" &amp; INDEX(B166:B365,MATCH(MAX(I166:I365),I166:I365,0))</f>
        <v>45488-YouTube</v>
      </c>
    </row>
    <row r="167" spans="1:10">
      <c r="A167" s="15">
        <v>45831</v>
      </c>
      <c r="B167" s="9" t="s">
        <v>15</v>
      </c>
      <c r="C167" s="8">
        <v>564</v>
      </c>
      <c r="D167" s="8">
        <v>244</v>
      </c>
      <c r="E167" s="8">
        <v>279405</v>
      </c>
      <c r="F167" s="8">
        <v>8.43</v>
      </c>
      <c r="G167" s="8">
        <v>26024</v>
      </c>
      <c r="H167" s="41">
        <f>Engagement_Summary[[#This Row],[Engagement_Rate]]/Engagement_Summary[[#This Row],[Ad_Spend]]*100</f>
        <v>3.239317553027974E-2</v>
      </c>
      <c r="I167" s="8">
        <f>Engagement_Summary[[#This Row],[New_Followers]]-Engagement_Summary[[#This Row],[Unfollows]]</f>
        <v>320</v>
      </c>
      <c r="J167" s="8" t="str">
        <f>INDEX(Engagement_Summary[Week_Start_Date],MATCH(MAX(I167:I366),I167:I366,0))&amp; "-" &amp; INDEX(B167:B366,MATCH(MAX(I167:I366),I167:I366,0))</f>
        <v>45481-YouTube</v>
      </c>
    </row>
    <row r="168" spans="1:10">
      <c r="A168" s="15">
        <v>45831</v>
      </c>
      <c r="B168" s="9" t="s">
        <v>27</v>
      </c>
      <c r="C168" s="8">
        <v>668</v>
      </c>
      <c r="D168" s="8">
        <v>124</v>
      </c>
      <c r="E168" s="8">
        <v>257485</v>
      </c>
      <c r="F168" s="8">
        <v>7.55</v>
      </c>
      <c r="G168" s="8">
        <v>26730</v>
      </c>
      <c r="H168" s="41">
        <f>Engagement_Summary[[#This Row],[Engagement_Rate]]/Engagement_Summary[[#This Row],[Ad_Spend]]*100</f>
        <v>2.824541713430602E-2</v>
      </c>
      <c r="I168" s="8">
        <f>Engagement_Summary[[#This Row],[New_Followers]]-Engagement_Summary[[#This Row],[Unfollows]]</f>
        <v>544</v>
      </c>
      <c r="J168" s="8" t="str">
        <f>INDEX(Engagement_Summary[Week_Start_Date],MATCH(MAX(I168:I367),I168:I367,0))&amp; "-" &amp; INDEX(B168:B367,MATCH(MAX(I168:I367),I168:I367,0))</f>
        <v>45481-YouTube</v>
      </c>
    </row>
    <row r="169" spans="1:10">
      <c r="A169" s="15">
        <v>45831</v>
      </c>
      <c r="B169" s="9" t="s">
        <v>34</v>
      </c>
      <c r="C169" s="8">
        <v>761</v>
      </c>
      <c r="D169" s="8">
        <v>241</v>
      </c>
      <c r="E169" s="8">
        <v>154977</v>
      </c>
      <c r="F169" s="8">
        <v>5.63</v>
      </c>
      <c r="G169" s="8">
        <v>10563</v>
      </c>
      <c r="H169" s="41">
        <f>Engagement_Summary[[#This Row],[Engagement_Rate]]/Engagement_Summary[[#This Row],[Ad_Spend]]*100</f>
        <v>5.3299252106409165E-2</v>
      </c>
      <c r="I169" s="8">
        <f>Engagement_Summary[[#This Row],[New_Followers]]-Engagement_Summary[[#This Row],[Unfollows]]</f>
        <v>520</v>
      </c>
      <c r="J169" s="8" t="str">
        <f>INDEX(Engagement_Summary[Week_Start_Date],MATCH(MAX(I169:I368),I169:I368,0))&amp; "-" &amp; INDEX(B169:B368,MATCH(MAX(I169:I368),I169:I368,0))</f>
        <v>45481-YouTube</v>
      </c>
    </row>
    <row r="170" spans="1:10">
      <c r="A170" s="15">
        <v>45838</v>
      </c>
      <c r="B170" s="9" t="s">
        <v>15</v>
      </c>
      <c r="C170" s="8">
        <v>593</v>
      </c>
      <c r="D170" s="8">
        <v>108</v>
      </c>
      <c r="E170" s="8">
        <v>216500</v>
      </c>
      <c r="F170" s="8">
        <v>4.71</v>
      </c>
      <c r="G170" s="8">
        <v>27575</v>
      </c>
      <c r="H170" s="41">
        <f>Engagement_Summary[[#This Row],[Engagement_Rate]]/Engagement_Summary[[#This Row],[Ad_Spend]]*100</f>
        <v>1.7080689029918404E-2</v>
      </c>
      <c r="I170" s="8">
        <f>Engagement_Summary[[#This Row],[New_Followers]]-Engagement_Summary[[#This Row],[Unfollows]]</f>
        <v>485</v>
      </c>
      <c r="J170" s="8" t="str">
        <f>INDEX(Engagement_Summary[Week_Start_Date],MATCH(MAX(I170:I369),I170:I369,0))&amp; "-" &amp; INDEX(B170:B369,MATCH(MAX(I170:I369),I170:I369,0))</f>
        <v>45474-YouTube</v>
      </c>
    </row>
    <row r="171" spans="1:10">
      <c r="A171" s="15">
        <v>45838</v>
      </c>
      <c r="B171" s="9" t="s">
        <v>27</v>
      </c>
      <c r="C171" s="8">
        <v>1349</v>
      </c>
      <c r="D171" s="8">
        <v>115</v>
      </c>
      <c r="E171" s="8">
        <v>102102</v>
      </c>
      <c r="F171" s="8">
        <v>5.28</v>
      </c>
      <c r="G171" s="8">
        <v>14479</v>
      </c>
      <c r="H171" s="41">
        <f>Engagement_Summary[[#This Row],[Engagement_Rate]]/Engagement_Summary[[#This Row],[Ad_Spend]]*100</f>
        <v>3.6466606809862565E-2</v>
      </c>
      <c r="I171" s="8">
        <f>Engagement_Summary[[#This Row],[New_Followers]]-Engagement_Summary[[#This Row],[Unfollows]]</f>
        <v>1234</v>
      </c>
      <c r="J171" s="8" t="str">
        <f>INDEX(Engagement_Summary[Week_Start_Date],MATCH(MAX(I171:I370),I171:I370,0))&amp; "-" &amp; INDEX(B171:B370,MATCH(MAX(I171:I370),I171:I370,0))</f>
        <v>45474-YouTube</v>
      </c>
    </row>
    <row r="172" spans="1:10">
      <c r="A172" s="15">
        <v>45838</v>
      </c>
      <c r="B172" s="9" t="s">
        <v>34</v>
      </c>
      <c r="C172" s="8">
        <v>693</v>
      </c>
      <c r="D172" s="8">
        <v>97</v>
      </c>
      <c r="E172" s="8">
        <v>92025</v>
      </c>
      <c r="F172" s="8">
        <v>5.95</v>
      </c>
      <c r="G172" s="8">
        <v>15915</v>
      </c>
      <c r="H172" s="41">
        <f>Engagement_Summary[[#This Row],[Engagement_Rate]]/Engagement_Summary[[#This Row],[Ad_Spend]]*100</f>
        <v>3.73861137291863E-2</v>
      </c>
      <c r="I172" s="8">
        <f>Engagement_Summary[[#This Row],[New_Followers]]-Engagement_Summary[[#This Row],[Unfollows]]</f>
        <v>596</v>
      </c>
      <c r="J172" s="8" t="str">
        <f>INDEX(Engagement_Summary[Week_Start_Date],MATCH(MAX(I172:I371),I172:I371,0))&amp; "-" &amp; INDEX(B172:B371,MATCH(MAX(I172:I371),I172:I371,0))</f>
        <v>45474-YouTube</v>
      </c>
    </row>
    <row r="173" spans="1:10">
      <c r="A173" s="15">
        <v>45845</v>
      </c>
      <c r="B173" s="9" t="s">
        <v>15</v>
      </c>
      <c r="C173" s="8">
        <v>974</v>
      </c>
      <c r="D173" s="8">
        <v>143</v>
      </c>
      <c r="E173" s="8">
        <v>247965</v>
      </c>
      <c r="F173" s="8">
        <v>9.98</v>
      </c>
      <c r="G173" s="8">
        <v>12767</v>
      </c>
      <c r="H173" s="41">
        <f>Engagement_Summary[[#This Row],[Engagement_Rate]]/Engagement_Summary[[#This Row],[Ad_Spend]]*100</f>
        <v>7.8170282760241253E-2</v>
      </c>
      <c r="I173" s="8">
        <f>Engagement_Summary[[#This Row],[New_Followers]]-Engagement_Summary[[#This Row],[Unfollows]]</f>
        <v>831</v>
      </c>
      <c r="J173" s="8" t="str">
        <f>INDEX(Engagement_Summary[Week_Start_Date],MATCH(MAX(I173:I372),I173:I372,0))&amp; "-" &amp; INDEX(B173:B372,MATCH(MAX(I173:I372),I173:I372,0))</f>
        <v>45467-YouTube</v>
      </c>
    </row>
    <row r="174" spans="1:10">
      <c r="A174" s="15">
        <v>45845</v>
      </c>
      <c r="B174" s="9" t="s">
        <v>27</v>
      </c>
      <c r="C174" s="8">
        <v>1155</v>
      </c>
      <c r="D174" s="8">
        <v>122</v>
      </c>
      <c r="E174" s="8">
        <v>387352</v>
      </c>
      <c r="F174" s="8">
        <v>9.93</v>
      </c>
      <c r="G174" s="8">
        <v>12170</v>
      </c>
      <c r="H174" s="41">
        <f>Engagement_Summary[[#This Row],[Engagement_Rate]]/Engagement_Summary[[#This Row],[Ad_Spend]]*100</f>
        <v>8.1594083812654067E-2</v>
      </c>
      <c r="I174" s="8">
        <f>Engagement_Summary[[#This Row],[New_Followers]]-Engagement_Summary[[#This Row],[Unfollows]]</f>
        <v>1033</v>
      </c>
      <c r="J174" s="8" t="str">
        <f>INDEX(Engagement_Summary[Week_Start_Date],MATCH(MAX(I174:I373),I174:I373,0))&amp; "-" &amp; INDEX(B174:B373,MATCH(MAX(I174:I373),I174:I373,0))</f>
        <v>45467-YouTube</v>
      </c>
    </row>
    <row r="175" spans="1:10">
      <c r="A175" s="15">
        <v>45845</v>
      </c>
      <c r="B175" s="9" t="s">
        <v>34</v>
      </c>
      <c r="C175" s="8">
        <v>1051</v>
      </c>
      <c r="D175" s="8">
        <v>246</v>
      </c>
      <c r="E175" s="8">
        <v>253985</v>
      </c>
      <c r="F175" s="8">
        <v>9.08</v>
      </c>
      <c r="G175" s="8">
        <v>7245</v>
      </c>
      <c r="H175" s="41">
        <f>Engagement_Summary[[#This Row],[Engagement_Rate]]/Engagement_Summary[[#This Row],[Ad_Spend]]*100</f>
        <v>0.12532781228433404</v>
      </c>
      <c r="I175" s="8">
        <f>Engagement_Summary[[#This Row],[New_Followers]]-Engagement_Summary[[#This Row],[Unfollows]]</f>
        <v>805</v>
      </c>
      <c r="J175" s="8" t="str">
        <f>INDEX(Engagement_Summary[Week_Start_Date],MATCH(MAX(I175:I374),I175:I374,0))&amp; "-" &amp; INDEX(B175:B374,MATCH(MAX(I175:I374),I175:I374,0))</f>
        <v>45467-YouTube</v>
      </c>
    </row>
    <row r="176" spans="1:10">
      <c r="A176" s="15">
        <v>45852</v>
      </c>
      <c r="B176" s="9" t="s">
        <v>15</v>
      </c>
      <c r="C176" s="8">
        <v>1457</v>
      </c>
      <c r="D176" s="8">
        <v>183</v>
      </c>
      <c r="E176" s="8">
        <v>129640</v>
      </c>
      <c r="F176" s="8">
        <v>7.98</v>
      </c>
      <c r="G176" s="8">
        <v>12985</v>
      </c>
      <c r="H176" s="41">
        <f>Engagement_Summary[[#This Row],[Engagement_Rate]]/Engagement_Summary[[#This Row],[Ad_Spend]]*100</f>
        <v>6.1455525606469011E-2</v>
      </c>
      <c r="I176" s="8">
        <f>Engagement_Summary[[#This Row],[New_Followers]]-Engagement_Summary[[#This Row],[Unfollows]]</f>
        <v>1274</v>
      </c>
      <c r="J176" s="8" t="str">
        <f>INDEX(Engagement_Summary[Week_Start_Date],MATCH(MAX(I176:I375),I176:I375,0))&amp; "-" &amp; INDEX(B176:B375,MATCH(MAX(I176:I375),I176:I375,0))</f>
        <v>45460-YouTube</v>
      </c>
    </row>
    <row r="177" spans="1:10">
      <c r="A177" s="15">
        <v>45852</v>
      </c>
      <c r="B177" s="9" t="s">
        <v>27</v>
      </c>
      <c r="C177" s="8">
        <v>670</v>
      </c>
      <c r="D177" s="8">
        <v>242</v>
      </c>
      <c r="E177" s="8">
        <v>281913</v>
      </c>
      <c r="F177" s="8">
        <v>9.6199999999999992</v>
      </c>
      <c r="G177" s="8">
        <v>16377</v>
      </c>
      <c r="H177" s="41">
        <f>Engagement_Summary[[#This Row],[Engagement_Rate]]/Engagement_Summary[[#This Row],[Ad_Spend]]*100</f>
        <v>5.874091713989131E-2</v>
      </c>
      <c r="I177" s="8">
        <f>Engagement_Summary[[#This Row],[New_Followers]]-Engagement_Summary[[#This Row],[Unfollows]]</f>
        <v>428</v>
      </c>
      <c r="J177" s="8" t="str">
        <f>INDEX(Engagement_Summary[Week_Start_Date],MATCH(MAX(I177:I376),I177:I376,0))&amp; "-" &amp; INDEX(B177:B376,MATCH(MAX(I177:I376),I177:I376,0))</f>
        <v>45460-YouTube</v>
      </c>
    </row>
    <row r="178" spans="1:10">
      <c r="A178" s="15">
        <v>45852</v>
      </c>
      <c r="B178" s="9" t="s">
        <v>34</v>
      </c>
      <c r="C178" s="8">
        <v>1111</v>
      </c>
      <c r="D178" s="8">
        <v>159</v>
      </c>
      <c r="E178" s="8">
        <v>360770</v>
      </c>
      <c r="F178" s="8">
        <v>8.7100000000000009</v>
      </c>
      <c r="G178" s="8">
        <v>11453</v>
      </c>
      <c r="H178" s="41">
        <f>Engagement_Summary[[#This Row],[Engagement_Rate]]/Engagement_Summary[[#This Row],[Ad_Spend]]*100</f>
        <v>7.6049943246311022E-2</v>
      </c>
      <c r="I178" s="8">
        <f>Engagement_Summary[[#This Row],[New_Followers]]-Engagement_Summary[[#This Row],[Unfollows]]</f>
        <v>952</v>
      </c>
      <c r="J178" s="8" t="str">
        <f>INDEX(Engagement_Summary[Week_Start_Date],MATCH(MAX(I178:I377),I178:I377,0))&amp; "-" &amp; INDEX(B178:B377,MATCH(MAX(I178:I377),I178:I377,0))</f>
        <v>45460-YouTube</v>
      </c>
    </row>
    <row r="179" spans="1:10">
      <c r="A179" s="15">
        <v>45859</v>
      </c>
      <c r="B179" s="9" t="s">
        <v>15</v>
      </c>
      <c r="C179" s="8">
        <v>1197</v>
      </c>
      <c r="D179" s="8">
        <v>246</v>
      </c>
      <c r="E179" s="8">
        <v>127273</v>
      </c>
      <c r="F179" s="8">
        <v>6.69</v>
      </c>
      <c r="G179" s="8">
        <v>12323</v>
      </c>
      <c r="H179" s="41">
        <f>Engagement_Summary[[#This Row],[Engagement_Rate]]/Engagement_Summary[[#This Row],[Ad_Spend]]*100</f>
        <v>5.428872839405989E-2</v>
      </c>
      <c r="I179" s="8">
        <f>Engagement_Summary[[#This Row],[New_Followers]]-Engagement_Summary[[#This Row],[Unfollows]]</f>
        <v>951</v>
      </c>
      <c r="J179" s="8" t="str">
        <f>INDEX(Engagement_Summary[Week_Start_Date],MATCH(MAX(I179:I378),I179:I378,0))&amp; "-" &amp; INDEX(B179:B378,MATCH(MAX(I179:I378),I179:I378,0))</f>
        <v>45453-YouTube</v>
      </c>
    </row>
    <row r="180" spans="1:10">
      <c r="A180" s="15">
        <v>45859</v>
      </c>
      <c r="B180" s="9" t="s">
        <v>27</v>
      </c>
      <c r="C180" s="8">
        <v>754</v>
      </c>
      <c r="D180" s="8">
        <v>150</v>
      </c>
      <c r="E180" s="8">
        <v>189622</v>
      </c>
      <c r="F180" s="8">
        <v>4.25</v>
      </c>
      <c r="G180" s="8">
        <v>11911</v>
      </c>
      <c r="H180" s="41">
        <f>Engagement_Summary[[#This Row],[Engagement_Rate]]/Engagement_Summary[[#This Row],[Ad_Spend]]*100</f>
        <v>3.5681302997229457E-2</v>
      </c>
      <c r="I180" s="8">
        <f>Engagement_Summary[[#This Row],[New_Followers]]-Engagement_Summary[[#This Row],[Unfollows]]</f>
        <v>604</v>
      </c>
      <c r="J180" s="8" t="str">
        <f>INDEX(Engagement_Summary[Week_Start_Date],MATCH(MAX(I180:I379),I180:I379,0))&amp; "-" &amp; INDEX(B180:B379,MATCH(MAX(I180:I379),I180:I379,0))</f>
        <v>45453-YouTube</v>
      </c>
    </row>
    <row r="181" spans="1:10">
      <c r="A181" s="15">
        <v>45859</v>
      </c>
      <c r="B181" s="9" t="s">
        <v>34</v>
      </c>
      <c r="C181" s="8">
        <v>1246</v>
      </c>
      <c r="D181" s="8">
        <v>107</v>
      </c>
      <c r="E181" s="8">
        <v>350949</v>
      </c>
      <c r="F181" s="8">
        <v>4.9800000000000004</v>
      </c>
      <c r="G181" s="8">
        <v>27809</v>
      </c>
      <c r="H181" s="41">
        <f>Engagement_Summary[[#This Row],[Engagement_Rate]]/Engagement_Summary[[#This Row],[Ad_Spend]]*100</f>
        <v>1.7907871552375134E-2</v>
      </c>
      <c r="I181" s="8">
        <f>Engagement_Summary[[#This Row],[New_Followers]]-Engagement_Summary[[#This Row],[Unfollows]]</f>
        <v>1139</v>
      </c>
      <c r="J181" s="8" t="str">
        <f>INDEX(Engagement_Summary[Week_Start_Date],MATCH(MAX(I181:I380),I181:I380,0))&amp; "-" &amp; INDEX(B181:B380,MATCH(MAX(I181:I380),I181:I380,0))</f>
        <v>45453-YouTube</v>
      </c>
    </row>
    <row r="182" spans="1:10">
      <c r="A182" s="15">
        <v>45866</v>
      </c>
      <c r="B182" s="9" t="s">
        <v>15</v>
      </c>
      <c r="C182" s="8">
        <v>780</v>
      </c>
      <c r="D182" s="8">
        <v>213</v>
      </c>
      <c r="E182" s="8">
        <v>121431</v>
      </c>
      <c r="F182" s="8">
        <v>4.97</v>
      </c>
      <c r="G182" s="8">
        <v>21464</v>
      </c>
      <c r="H182" s="41">
        <f>Engagement_Summary[[#This Row],[Engagement_Rate]]/Engagement_Summary[[#This Row],[Ad_Spend]]*100</f>
        <v>2.315505031680954E-2</v>
      </c>
      <c r="I182" s="8">
        <f>Engagement_Summary[[#This Row],[New_Followers]]-Engagement_Summary[[#This Row],[Unfollows]]</f>
        <v>567</v>
      </c>
      <c r="J182" s="8" t="str">
        <f>INDEX(Engagement_Summary[Week_Start_Date],MATCH(MAX(I182:I381),I182:I381,0))&amp; "-" &amp; INDEX(B182:B381,MATCH(MAX(I182:I381),I182:I381,0))</f>
        <v>45446-YouTube</v>
      </c>
    </row>
    <row r="183" spans="1:10">
      <c r="A183" s="15">
        <v>45866</v>
      </c>
      <c r="B183" s="9" t="s">
        <v>27</v>
      </c>
      <c r="C183" s="8">
        <v>1425</v>
      </c>
      <c r="D183" s="8">
        <v>143</v>
      </c>
      <c r="E183" s="8">
        <v>116742</v>
      </c>
      <c r="F183" s="8">
        <v>3.71</v>
      </c>
      <c r="G183" s="8">
        <v>27126</v>
      </c>
      <c r="H183" s="41">
        <f>Engagement_Summary[[#This Row],[Engagement_Rate]]/Engagement_Summary[[#This Row],[Ad_Spend]]*100</f>
        <v>1.3676915136769151E-2</v>
      </c>
      <c r="I183" s="8">
        <f>Engagement_Summary[[#This Row],[New_Followers]]-Engagement_Summary[[#This Row],[Unfollows]]</f>
        <v>1282</v>
      </c>
      <c r="J183" s="8" t="str">
        <f>INDEX(Engagement_Summary[Week_Start_Date],MATCH(MAX(I183:I382),I183:I382,0))&amp; "-" &amp; INDEX(B183:B382,MATCH(MAX(I183:I382),I183:I382,0))</f>
        <v>45446-YouTube</v>
      </c>
    </row>
    <row r="184" spans="1:10">
      <c r="A184" s="15">
        <v>45866</v>
      </c>
      <c r="B184" s="9" t="s">
        <v>34</v>
      </c>
      <c r="C184" s="8">
        <v>1490</v>
      </c>
      <c r="D184" s="8">
        <v>103</v>
      </c>
      <c r="E184" s="8">
        <v>81184</v>
      </c>
      <c r="F184" s="8">
        <v>7.79</v>
      </c>
      <c r="G184" s="8">
        <v>10681</v>
      </c>
      <c r="H184" s="41">
        <f>Engagement_Summary[[#This Row],[Engagement_Rate]]/Engagement_Summary[[#This Row],[Ad_Spend]]*100</f>
        <v>7.2933245950753678E-2</v>
      </c>
      <c r="I184" s="8">
        <f>Engagement_Summary[[#This Row],[New_Followers]]-Engagement_Summary[[#This Row],[Unfollows]]</f>
        <v>1387</v>
      </c>
      <c r="J184" s="8" t="str">
        <f>INDEX(Engagement_Summary[Week_Start_Date],MATCH(MAX(I184:I383),I184:I383,0))&amp; "-" &amp; INDEX(B184:B383,MATCH(MAX(I184:I383),I184:I383,0))</f>
        <v>45446-YouTube</v>
      </c>
    </row>
    <row r="185" spans="1:10">
      <c r="A185" s="15">
        <v>45873</v>
      </c>
      <c r="B185" s="9" t="s">
        <v>15</v>
      </c>
      <c r="C185" s="8">
        <v>949</v>
      </c>
      <c r="D185" s="8">
        <v>282</v>
      </c>
      <c r="E185" s="8">
        <v>87126</v>
      </c>
      <c r="F185" s="8">
        <v>4.96</v>
      </c>
      <c r="G185" s="8">
        <v>5413</v>
      </c>
      <c r="H185" s="41">
        <f>Engagement_Summary[[#This Row],[Engagement_Rate]]/Engagement_Summary[[#This Row],[Ad_Spend]]*100</f>
        <v>9.1631258082394237E-2</v>
      </c>
      <c r="I185" s="8">
        <f>Engagement_Summary[[#This Row],[New_Followers]]-Engagement_Summary[[#This Row],[Unfollows]]</f>
        <v>667</v>
      </c>
      <c r="J185" s="8" t="str">
        <f>INDEX(Engagement_Summary[Week_Start_Date],MATCH(MAX(I185:I384),I185:I384,0))&amp; "-" &amp; INDEX(B185:B384,MATCH(MAX(I185:I384),I185:I384,0))</f>
        <v>45467-Twitter</v>
      </c>
    </row>
    <row r="186" spans="1:10">
      <c r="A186" s="15">
        <v>45873</v>
      </c>
      <c r="B186" s="9" t="s">
        <v>27</v>
      </c>
      <c r="C186" s="8">
        <v>640</v>
      </c>
      <c r="D186" s="8">
        <v>141</v>
      </c>
      <c r="E186" s="8">
        <v>267546</v>
      </c>
      <c r="F186" s="8">
        <v>8.58</v>
      </c>
      <c r="G186" s="8">
        <v>25058</v>
      </c>
      <c r="H186" s="41">
        <f>Engagement_Summary[[#This Row],[Engagement_Rate]]/Engagement_Summary[[#This Row],[Ad_Spend]]*100</f>
        <v>3.4240561896400352E-2</v>
      </c>
      <c r="I186" s="8">
        <f>Engagement_Summary[[#This Row],[New_Followers]]-Engagement_Summary[[#This Row],[Unfollows]]</f>
        <v>499</v>
      </c>
      <c r="J186" s="8" t="str">
        <f>INDEX(Engagement_Summary[Week_Start_Date],MATCH(MAX(I186:I385),I186:I385,0))&amp; "-" &amp; INDEX(B186:B385,MATCH(MAX(I186:I385),I186:I385,0))</f>
        <v>45467-Twitter</v>
      </c>
    </row>
    <row r="187" spans="1:10">
      <c r="A187" s="15">
        <v>45873</v>
      </c>
      <c r="B187" s="9" t="s">
        <v>34</v>
      </c>
      <c r="C187" s="8">
        <v>616</v>
      </c>
      <c r="D187" s="8">
        <v>93</v>
      </c>
      <c r="E187" s="8">
        <v>133082</v>
      </c>
      <c r="F187" s="8">
        <v>8.51</v>
      </c>
      <c r="G187" s="8">
        <v>18303</v>
      </c>
      <c r="H187" s="41">
        <f>Engagement_Summary[[#This Row],[Engagement_Rate]]/Engagement_Summary[[#This Row],[Ad_Spend]]*100</f>
        <v>4.6495110091241874E-2</v>
      </c>
      <c r="I187" s="8">
        <f>Engagement_Summary[[#This Row],[New_Followers]]-Engagement_Summary[[#This Row],[Unfollows]]</f>
        <v>523</v>
      </c>
      <c r="J187" s="8" t="str">
        <f>INDEX(Engagement_Summary[Week_Start_Date],MATCH(MAX(I187:I386),I187:I386,0))&amp; "-" &amp; INDEX(B187:B386,MATCH(MAX(I187:I386),I187:I386,0))</f>
        <v>45460-Twitter</v>
      </c>
    </row>
    <row r="188" spans="1:10">
      <c r="A188" s="15">
        <v>45880</v>
      </c>
      <c r="B188" s="9" t="s">
        <v>15</v>
      </c>
      <c r="C188" s="8">
        <v>1080</v>
      </c>
      <c r="D188" s="8">
        <v>184</v>
      </c>
      <c r="E188" s="8">
        <v>340557</v>
      </c>
      <c r="F188" s="8">
        <v>5.41</v>
      </c>
      <c r="G188" s="8">
        <v>5526</v>
      </c>
      <c r="H188" s="41">
        <f>Engagement_Summary[[#This Row],[Engagement_Rate]]/Engagement_Summary[[#This Row],[Ad_Spend]]*100</f>
        <v>9.7900832428519713E-2</v>
      </c>
      <c r="I188" s="8">
        <f>Engagement_Summary[[#This Row],[New_Followers]]-Engagement_Summary[[#This Row],[Unfollows]]</f>
        <v>896</v>
      </c>
      <c r="J188" s="8" t="str">
        <f>INDEX(Engagement_Summary[Week_Start_Date],MATCH(MAX(I188:I387),I188:I387,0))&amp; "-" &amp; INDEX(B188:B387,MATCH(MAX(I188:I387),I188:I387,0))</f>
        <v>45460-Twitter</v>
      </c>
    </row>
    <row r="189" spans="1:10">
      <c r="A189" s="15">
        <v>45880</v>
      </c>
      <c r="B189" s="9" t="s">
        <v>27</v>
      </c>
      <c r="C189" s="8">
        <v>938</v>
      </c>
      <c r="D189" s="8">
        <v>236</v>
      </c>
      <c r="E189" s="8">
        <v>116472</v>
      </c>
      <c r="F189" s="8">
        <v>8.7200000000000006</v>
      </c>
      <c r="G189" s="8">
        <v>17460</v>
      </c>
      <c r="H189" s="41">
        <f>Engagement_Summary[[#This Row],[Engagement_Rate]]/Engagement_Summary[[#This Row],[Ad_Spend]]*100</f>
        <v>4.9942726231386028E-2</v>
      </c>
      <c r="I189" s="8">
        <f>Engagement_Summary[[#This Row],[New_Followers]]-Engagement_Summary[[#This Row],[Unfollows]]</f>
        <v>702</v>
      </c>
      <c r="J189" s="8" t="str">
        <f>INDEX(Engagement_Summary[Week_Start_Date],MATCH(MAX(I189:I388),I189:I388,0))&amp; "-" &amp; INDEX(B189:B388,MATCH(MAX(I189:I388),I189:I388,0))</f>
        <v>45460-Twitter</v>
      </c>
    </row>
    <row r="190" spans="1:10">
      <c r="A190" s="15">
        <v>45880</v>
      </c>
      <c r="B190" s="9" t="s">
        <v>34</v>
      </c>
      <c r="C190" s="8">
        <v>1007</v>
      </c>
      <c r="D190" s="8">
        <v>258</v>
      </c>
      <c r="E190" s="8">
        <v>113412</v>
      </c>
      <c r="F190" s="8">
        <v>7.71</v>
      </c>
      <c r="G190" s="8">
        <v>14475</v>
      </c>
      <c r="H190" s="41">
        <f>Engagement_Summary[[#This Row],[Engagement_Rate]]/Engagement_Summary[[#This Row],[Ad_Spend]]*100</f>
        <v>5.3264248704663217E-2</v>
      </c>
      <c r="I190" s="8">
        <f>Engagement_Summary[[#This Row],[New_Followers]]-Engagement_Summary[[#This Row],[Unfollows]]</f>
        <v>749</v>
      </c>
      <c r="J190" s="8" t="str">
        <f>INDEX(Engagement_Summary[Week_Start_Date],MATCH(MAX(I190:I389),I190:I389,0))&amp; "-" &amp; INDEX(B190:B389,MATCH(MAX(I190:I389),I190:I389,0))</f>
        <v>45453-Twitter</v>
      </c>
    </row>
    <row r="191" spans="1:10">
      <c r="A191" s="15">
        <v>45887</v>
      </c>
      <c r="B191" s="9" t="s">
        <v>15</v>
      </c>
      <c r="C191" s="8">
        <v>541</v>
      </c>
      <c r="D191" s="8">
        <v>208</v>
      </c>
      <c r="E191" s="8">
        <v>157547</v>
      </c>
      <c r="F191" s="8">
        <v>8.35</v>
      </c>
      <c r="G191" s="8">
        <v>20162</v>
      </c>
      <c r="H191" s="41">
        <f>Engagement_Summary[[#This Row],[Engagement_Rate]]/Engagement_Summary[[#This Row],[Ad_Spend]]*100</f>
        <v>4.1414542208114268E-2</v>
      </c>
      <c r="I191" s="8">
        <f>Engagement_Summary[[#This Row],[New_Followers]]-Engagement_Summary[[#This Row],[Unfollows]]</f>
        <v>333</v>
      </c>
      <c r="J191" s="8" t="str">
        <f>INDEX(Engagement_Summary[Week_Start_Date],MATCH(MAX(I191:I390),I191:I390,0))&amp; "-" &amp; INDEX(B191:B390,MATCH(MAX(I191:I390),I191:I390,0))</f>
        <v>45453-Twitter</v>
      </c>
    </row>
    <row r="192" spans="1:10">
      <c r="A192" s="15">
        <v>45887</v>
      </c>
      <c r="B192" s="9" t="s">
        <v>27</v>
      </c>
      <c r="C192" s="8">
        <v>745</v>
      </c>
      <c r="D192" s="8">
        <v>98</v>
      </c>
      <c r="E192" s="8">
        <v>354816</v>
      </c>
      <c r="F192" s="8">
        <v>4.03</v>
      </c>
      <c r="G192" s="8">
        <v>17103</v>
      </c>
      <c r="H192" s="41">
        <f>Engagement_Summary[[#This Row],[Engagement_Rate]]/Engagement_Summary[[#This Row],[Ad_Spend]]*100</f>
        <v>2.3563117581710813E-2</v>
      </c>
      <c r="I192" s="8">
        <f>Engagement_Summary[[#This Row],[New_Followers]]-Engagement_Summary[[#This Row],[Unfollows]]</f>
        <v>647</v>
      </c>
      <c r="J192" s="8" t="str">
        <f>INDEX(Engagement_Summary[Week_Start_Date],MATCH(MAX(I192:I391),I192:I391,0))&amp; "-" &amp; INDEX(B192:B391,MATCH(MAX(I192:I391),I192:I391,0))</f>
        <v>45453-Twitter</v>
      </c>
    </row>
    <row r="193" spans="1:10">
      <c r="A193" s="15">
        <v>45887</v>
      </c>
      <c r="B193" s="9" t="s">
        <v>34</v>
      </c>
      <c r="C193" s="8">
        <v>936</v>
      </c>
      <c r="D193" s="8">
        <v>97</v>
      </c>
      <c r="E193" s="8">
        <v>151799</v>
      </c>
      <c r="F193" s="8">
        <v>9.3699999999999992</v>
      </c>
      <c r="G193" s="8">
        <v>15461</v>
      </c>
      <c r="H193" s="41">
        <f>Engagement_Summary[[#This Row],[Engagement_Rate]]/Engagement_Summary[[#This Row],[Ad_Spend]]*100</f>
        <v>6.0604100640320804E-2</v>
      </c>
      <c r="I193" s="8">
        <f>Engagement_Summary[[#This Row],[New_Followers]]-Engagement_Summary[[#This Row],[Unfollows]]</f>
        <v>839</v>
      </c>
      <c r="J193" s="8" t="str">
        <f>INDEX(Engagement_Summary[Week_Start_Date],MATCH(MAX(I193:I392),I193:I392,0))&amp; "-" &amp; INDEX(B193:B392,MATCH(MAX(I193:I392),I193:I392,0))</f>
        <v>45446-Twitter</v>
      </c>
    </row>
    <row r="194" spans="1:10">
      <c r="A194" s="15">
        <v>45894</v>
      </c>
      <c r="B194" s="9" t="s">
        <v>15</v>
      </c>
      <c r="C194" s="8">
        <v>1183</v>
      </c>
      <c r="D194" s="8">
        <v>223</v>
      </c>
      <c r="E194" s="8">
        <v>143811</v>
      </c>
      <c r="F194" s="8">
        <v>6.07</v>
      </c>
      <c r="G194" s="8">
        <v>22103</v>
      </c>
      <c r="H194" s="41">
        <f>Engagement_Summary[[#This Row],[Engagement_Rate]]/Engagement_Summary[[#This Row],[Ad_Spend]]*100</f>
        <v>2.7462335429579696E-2</v>
      </c>
      <c r="I194" s="8">
        <f>Engagement_Summary[[#This Row],[New_Followers]]-Engagement_Summary[[#This Row],[Unfollows]]</f>
        <v>960</v>
      </c>
      <c r="J194" s="8" t="str">
        <f>INDEX(Engagement_Summary[Week_Start_Date],MATCH(MAX(I194:I393),I194:I393,0))&amp; "-" &amp; INDEX(B194:B393,MATCH(MAX(I194:I393),I194:I393,0))</f>
        <v>45446-Twitter</v>
      </c>
    </row>
    <row r="195" spans="1:10">
      <c r="A195" s="15">
        <v>45894</v>
      </c>
      <c r="B195" s="9" t="s">
        <v>27</v>
      </c>
      <c r="C195" s="8">
        <v>1413</v>
      </c>
      <c r="D195" s="8">
        <v>245</v>
      </c>
      <c r="E195" s="8">
        <v>296450</v>
      </c>
      <c r="F195" s="8">
        <v>6.52</v>
      </c>
      <c r="G195" s="8">
        <v>11625</v>
      </c>
      <c r="H195" s="41">
        <f>Engagement_Summary[[#This Row],[Engagement_Rate]]/Engagement_Summary[[#This Row],[Ad_Spend]]*100</f>
        <v>5.6086021505376338E-2</v>
      </c>
      <c r="I195" s="8">
        <f>Engagement_Summary[[#This Row],[New_Followers]]-Engagement_Summary[[#This Row],[Unfollows]]</f>
        <v>1168</v>
      </c>
      <c r="J195" s="8" t="str">
        <f>INDEX(Engagement_Summary[Week_Start_Date],MATCH(MAX(I195:I394),I195:I394,0))&amp; "-" &amp; INDEX(B195:B394,MATCH(MAX(I195:I394),I195:I394,0))</f>
        <v>45446-Twitter</v>
      </c>
    </row>
    <row r="196" spans="1:10">
      <c r="A196" s="15">
        <v>45894</v>
      </c>
      <c r="B196" s="9" t="s">
        <v>34</v>
      </c>
      <c r="C196" s="8">
        <v>791</v>
      </c>
      <c r="D196" s="8">
        <v>273</v>
      </c>
      <c r="E196" s="8">
        <v>144049</v>
      </c>
      <c r="F196" s="8">
        <v>3.08</v>
      </c>
      <c r="G196" s="8">
        <v>5281</v>
      </c>
      <c r="H196" s="41">
        <f>Engagement_Summary[[#This Row],[Engagement_Rate]]/Engagement_Summary[[#This Row],[Ad_Spend]]*100</f>
        <v>5.8322287445559548E-2</v>
      </c>
      <c r="I196" s="8">
        <f>Engagement_Summary[[#This Row],[New_Followers]]-Engagement_Summary[[#This Row],[Unfollows]]</f>
        <v>518</v>
      </c>
      <c r="J196" s="8" t="str">
        <f>INDEX(Engagement_Summary[Week_Start_Date],MATCH(MAX(I196:I395),I196:I395,0))&amp; "-" &amp; INDEX(B196:B395,MATCH(MAX(I196:I395),I196:I395,0))</f>
        <v>45446-Instagram</v>
      </c>
    </row>
    <row r="197" spans="1:10">
      <c r="A197" s="15">
        <v>45901</v>
      </c>
      <c r="B197" s="9" t="s">
        <v>15</v>
      </c>
      <c r="C197" s="8">
        <v>1052</v>
      </c>
      <c r="D197" s="8">
        <v>180</v>
      </c>
      <c r="E197" s="8">
        <v>272534</v>
      </c>
      <c r="F197" s="8">
        <v>5.34</v>
      </c>
      <c r="G197" s="8">
        <v>13424</v>
      </c>
      <c r="H197" s="41">
        <f>Engagement_Summary[[#This Row],[Engagement_Rate]]/Engagement_Summary[[#This Row],[Ad_Spend]]*100</f>
        <v>3.977949940405244E-2</v>
      </c>
      <c r="I197" s="8">
        <f>Engagement_Summary[[#This Row],[New_Followers]]-Engagement_Summary[[#This Row],[Unfollows]]</f>
        <v>872</v>
      </c>
      <c r="J197" s="8" t="str">
        <f>INDEX(Engagement_Summary[Week_Start_Date],MATCH(MAX(I197:I396),I197:I396,0))&amp; "-" &amp; INDEX(B197:B396,MATCH(MAX(I197:I396),I197:I396,0))</f>
        <v>45446-Instagram</v>
      </c>
    </row>
    <row r="198" spans="1:10">
      <c r="A198" s="15">
        <v>45901</v>
      </c>
      <c r="B198" s="9" t="s">
        <v>27</v>
      </c>
      <c r="C198" s="8">
        <v>572</v>
      </c>
      <c r="D198" s="8">
        <v>270</v>
      </c>
      <c r="E198" s="8">
        <v>82265</v>
      </c>
      <c r="F198" s="8">
        <v>3.65</v>
      </c>
      <c r="G198" s="8">
        <v>13140</v>
      </c>
      <c r="H198" s="41">
        <f>Engagement_Summary[[#This Row],[Engagement_Rate]]/Engagement_Summary[[#This Row],[Ad_Spend]]*100</f>
        <v>2.7777777777777776E-2</v>
      </c>
      <c r="I198" s="8">
        <f>Engagement_Summary[[#This Row],[New_Followers]]-Engagement_Summary[[#This Row],[Unfollows]]</f>
        <v>302</v>
      </c>
      <c r="J198" s="8" t="str">
        <f>INDEX(Engagement_Summary[Week_Start_Date],MATCH(MAX(I198:I397),I198:I397,0))&amp; "-" &amp; INDEX(B198:B397,MATCH(MAX(I198:I397),I198:I397,0))</f>
        <v>45446-Instagram</v>
      </c>
    </row>
    <row r="199" spans="1:10">
      <c r="A199" s="15">
        <v>45901</v>
      </c>
      <c r="B199" s="9" t="s">
        <v>34</v>
      </c>
      <c r="C199" s="8">
        <v>503</v>
      </c>
      <c r="D199" s="8">
        <v>253</v>
      </c>
      <c r="E199" s="8">
        <v>313562</v>
      </c>
      <c r="F199" s="8">
        <v>4.18</v>
      </c>
      <c r="G199" s="8">
        <v>19538</v>
      </c>
      <c r="H199" s="41">
        <f>Engagement_Summary[[#This Row],[Engagement_Rate]]/Engagement_Summary[[#This Row],[Ad_Spend]]*100</f>
        <v>2.1394206162350292E-2</v>
      </c>
      <c r="I199" s="8">
        <f>Engagement_Summary[[#This Row],[New_Followers]]-Engagement_Summary[[#This Row],[Unfollows]]</f>
        <v>250</v>
      </c>
      <c r="J199" s="8" t="str">
        <f>INDEX(Engagement_Summary[Week_Start_Date],MATCH(MAX(I199:I398),I199:I398,0))&amp; "-" &amp; INDEX(B199:B398,MATCH(MAX(I199:I398),I199:I398,0))</f>
        <v>45446-Instagram</v>
      </c>
    </row>
    <row r="200" spans="1:10">
      <c r="A200" s="15">
        <v>45908</v>
      </c>
      <c r="B200" s="9" t="s">
        <v>15</v>
      </c>
      <c r="C200" s="8">
        <v>1017</v>
      </c>
      <c r="D200" s="8">
        <v>197</v>
      </c>
      <c r="E200" s="8">
        <v>89918</v>
      </c>
      <c r="F200" s="8">
        <v>3.91</v>
      </c>
      <c r="G200" s="8">
        <v>7881</v>
      </c>
      <c r="H200" s="41">
        <f>Engagement_Summary[[#This Row],[Engagement_Rate]]/Engagement_Summary[[#This Row],[Ad_Spend]]*100</f>
        <v>4.9612993274965107E-2</v>
      </c>
      <c r="I200" s="8">
        <f>Engagement_Summary[[#This Row],[New_Followers]]-Engagement_Summary[[#This Row],[Unfollows]]</f>
        <v>820</v>
      </c>
      <c r="J200" s="8" t="str">
        <f>INDEX(Engagement_Summary[Week_Start_Date],MATCH(MAX(I200:I399),I200:I399,0))&amp; "-" &amp; INDEX(B200:B399,MATCH(MAX(I200:I399),I200:I399,0))</f>
        <v>45446-Instagram</v>
      </c>
    </row>
    <row r="201" spans="1:10">
      <c r="A201" s="15">
        <v>45908</v>
      </c>
      <c r="B201" s="9" t="s">
        <v>27</v>
      </c>
      <c r="C201" s="8">
        <v>860</v>
      </c>
      <c r="D201" s="8">
        <v>244</v>
      </c>
      <c r="E201" s="8">
        <v>348686</v>
      </c>
      <c r="F201" s="8">
        <v>5.12</v>
      </c>
      <c r="G201" s="8">
        <v>11418</v>
      </c>
      <c r="H201" s="41">
        <f>Engagement_Summary[[#This Row],[Engagement_Rate]]/Engagement_Summary[[#This Row],[Ad_Spend]]*100</f>
        <v>4.4841478367489931E-2</v>
      </c>
      <c r="I201" s="8">
        <f>Engagement_Summary[[#This Row],[New_Followers]]-Engagement_Summary[[#This Row],[Unfollows]]</f>
        <v>616</v>
      </c>
      <c r="J201" s="8" t="str">
        <f>INDEX(Engagement_Summary[Week_Start_Date],MATCH(MAX(I201:I400),I201:I400,0))&amp; "-" &amp; INDEX(B201:B400,MATCH(MAX(I201:I400),I201:I400,0))</f>
        <v>45446-Twitter</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1E58-5F16-43C1-A3EA-AFAE6EA549E4}">
  <dimension ref="A1:H9"/>
  <sheetViews>
    <sheetView workbookViewId="0">
      <selection activeCell="F30" sqref="F30"/>
    </sheetView>
  </sheetViews>
  <sheetFormatPr defaultRowHeight="14.4"/>
  <cols>
    <col min="1" max="1" width="17.77734375" bestFit="1" customWidth="1"/>
    <col min="2" max="2" width="12.109375" bestFit="1" customWidth="1"/>
    <col min="3" max="3" width="11.33203125" bestFit="1" customWidth="1"/>
    <col min="4" max="4" width="15.109375" bestFit="1" customWidth="1"/>
    <col min="5" max="5" width="14.44140625" bestFit="1" customWidth="1"/>
    <col min="6" max="6" width="17.77734375" bestFit="1" customWidth="1"/>
    <col min="7" max="8" width="20.109375" bestFit="1" customWidth="1"/>
  </cols>
  <sheetData>
    <row r="1" spans="1:8">
      <c r="A1" s="3" t="s">
        <v>13</v>
      </c>
      <c r="B1" s="3" t="s">
        <v>339</v>
      </c>
      <c r="C1" s="3" t="s">
        <v>340</v>
      </c>
      <c r="D1" s="3" t="s">
        <v>341</v>
      </c>
      <c r="E1" s="3" t="s">
        <v>342</v>
      </c>
      <c r="F1" s="3" t="s">
        <v>343</v>
      </c>
      <c r="G1" s="3" t="s">
        <v>344</v>
      </c>
      <c r="H1" s="3" t="s">
        <v>345</v>
      </c>
    </row>
    <row r="2" spans="1:8">
      <c r="A2" t="s">
        <v>58</v>
      </c>
      <c r="B2" s="2">
        <v>45458</v>
      </c>
      <c r="C2" s="2">
        <v>45488</v>
      </c>
      <c r="D2" t="s">
        <v>346</v>
      </c>
      <c r="E2">
        <v>175000</v>
      </c>
      <c r="F2" t="s">
        <v>347</v>
      </c>
      <c r="G2" t="s">
        <v>36</v>
      </c>
      <c r="H2" t="s">
        <v>30</v>
      </c>
    </row>
    <row r="3" spans="1:8">
      <c r="A3" t="s">
        <v>55</v>
      </c>
      <c r="B3" s="2">
        <v>45627</v>
      </c>
      <c r="C3" s="2">
        <v>45657</v>
      </c>
      <c r="D3" t="s">
        <v>348</v>
      </c>
      <c r="E3">
        <v>225000</v>
      </c>
      <c r="F3" t="s">
        <v>349</v>
      </c>
      <c r="G3" t="s">
        <v>36</v>
      </c>
      <c r="H3" t="s">
        <v>19</v>
      </c>
    </row>
    <row r="4" spans="1:8">
      <c r="A4" t="s">
        <v>20</v>
      </c>
      <c r="B4" s="2">
        <v>45667</v>
      </c>
      <c r="C4" s="2">
        <v>45698</v>
      </c>
      <c r="D4" t="s">
        <v>350</v>
      </c>
      <c r="E4">
        <v>200000</v>
      </c>
      <c r="F4" t="s">
        <v>351</v>
      </c>
      <c r="G4" t="s">
        <v>352</v>
      </c>
      <c r="H4" t="s">
        <v>18</v>
      </c>
    </row>
    <row r="5" spans="1:8">
      <c r="A5" t="s">
        <v>25</v>
      </c>
      <c r="B5" s="2">
        <v>45717</v>
      </c>
      <c r="C5" s="2">
        <v>45747</v>
      </c>
      <c r="D5" t="s">
        <v>353</v>
      </c>
      <c r="E5">
        <v>160000</v>
      </c>
      <c r="F5" t="s">
        <v>354</v>
      </c>
      <c r="G5" t="s">
        <v>23</v>
      </c>
      <c r="H5" t="s">
        <v>355</v>
      </c>
    </row>
    <row r="9" spans="1:8" ht="12.6" customHeight="1"/>
  </sheetData>
  <phoneticPr fontId="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8230-4C9E-41DB-BCB8-166774E4E2C7}">
  <dimension ref="A1:M39"/>
  <sheetViews>
    <sheetView workbookViewId="0">
      <selection activeCell="A22" sqref="A22"/>
    </sheetView>
  </sheetViews>
  <sheetFormatPr defaultRowHeight="14.4"/>
  <cols>
    <col min="1" max="1" width="19.77734375" style="8" bestFit="1" customWidth="1"/>
    <col min="2" max="2" width="21.5546875" style="8" bestFit="1" customWidth="1"/>
    <col min="3" max="3" width="11.21875" style="8" bestFit="1" customWidth="1"/>
    <col min="4" max="4" width="14.88671875" style="8" bestFit="1" customWidth="1"/>
    <col min="5" max="5" width="15.33203125" style="8" bestFit="1" customWidth="1"/>
    <col min="6" max="7" width="19.77734375" style="8" bestFit="1" customWidth="1"/>
    <col min="8" max="8" width="27" style="8" bestFit="1" customWidth="1"/>
    <col min="9" max="9" width="10.77734375" style="8" bestFit="1" customWidth="1"/>
    <col min="10" max="10" width="15.88671875" style="8" bestFit="1" customWidth="1"/>
    <col min="11" max="11" width="5.5546875" style="8" bestFit="1" customWidth="1"/>
    <col min="12" max="12" width="10.77734375" style="8" bestFit="1" customWidth="1"/>
    <col min="13" max="13" width="22.5546875" style="8" bestFit="1" customWidth="1"/>
    <col min="14" max="14" width="14" style="8" bestFit="1" customWidth="1"/>
    <col min="15" max="15" width="16.77734375" style="8" bestFit="1" customWidth="1"/>
    <col min="16" max="16" width="18.77734375" style="8" bestFit="1" customWidth="1"/>
    <col min="17" max="17" width="12" style="8" bestFit="1" customWidth="1"/>
    <col min="18" max="18" width="21.6640625" style="8" bestFit="1" customWidth="1"/>
    <col min="19" max="19" width="12" style="8" bestFit="1" customWidth="1"/>
    <col min="20" max="16384" width="8.88671875" style="8"/>
  </cols>
  <sheetData>
    <row r="1" spans="1:13">
      <c r="A1" s="55" t="s">
        <v>455</v>
      </c>
    </row>
    <row r="2" spans="1:13" ht="15" thickBot="1"/>
    <row r="3" spans="1:13" ht="15" thickBot="1">
      <c r="A3" s="62" t="s">
        <v>467</v>
      </c>
      <c r="B3" s="63"/>
      <c r="E3" s="64" t="s">
        <v>363</v>
      </c>
      <c r="F3" s="64"/>
      <c r="G3" s="64"/>
      <c r="H3" s="64"/>
      <c r="I3" s="64"/>
    </row>
    <row r="4" spans="1:13">
      <c r="A4" s="10" t="s">
        <v>1</v>
      </c>
      <c r="B4" s="11" t="s">
        <v>398</v>
      </c>
      <c r="E4" s="10" t="s">
        <v>414</v>
      </c>
      <c r="F4" s="10" t="s">
        <v>400</v>
      </c>
      <c r="G4" s="11"/>
      <c r="H4" s="11"/>
      <c r="I4" s="11"/>
    </row>
    <row r="5" spans="1:13">
      <c r="A5" s="11" t="s">
        <v>15</v>
      </c>
      <c r="B5" s="31">
        <v>8.4790608074944753</v>
      </c>
      <c r="E5" s="10" t="s">
        <v>449</v>
      </c>
      <c r="F5" s="11" t="s">
        <v>15</v>
      </c>
      <c r="G5" s="11" t="s">
        <v>27</v>
      </c>
      <c r="H5" s="11" t="s">
        <v>34</v>
      </c>
      <c r="I5" s="11" t="s">
        <v>362</v>
      </c>
    </row>
    <row r="6" spans="1:13">
      <c r="A6" s="11" t="s">
        <v>27</v>
      </c>
      <c r="B6" s="31">
        <v>8.5905584164325202</v>
      </c>
      <c r="E6" s="11" t="s">
        <v>39</v>
      </c>
      <c r="F6" s="12" t="s">
        <v>24</v>
      </c>
      <c r="G6" s="12">
        <v>26.064752360763155</v>
      </c>
      <c r="H6" s="12" t="s">
        <v>24</v>
      </c>
      <c r="I6" s="12">
        <v>26.064752360763155</v>
      </c>
    </row>
    <row r="7" spans="1:13">
      <c r="A7" s="11" t="s">
        <v>34</v>
      </c>
      <c r="B7" s="31">
        <v>8.2324151888017028</v>
      </c>
      <c r="E7" s="11" t="s">
        <v>145</v>
      </c>
      <c r="F7" s="12" t="s">
        <v>24</v>
      </c>
      <c r="G7" s="12">
        <v>23.193025217961939</v>
      </c>
      <c r="H7" s="12" t="s">
        <v>24</v>
      </c>
      <c r="I7" s="12">
        <v>23.193025217961939</v>
      </c>
    </row>
    <row r="8" spans="1:13">
      <c r="E8" s="11" t="s">
        <v>225</v>
      </c>
      <c r="F8" s="12" t="s">
        <v>24</v>
      </c>
      <c r="G8" s="12">
        <v>22.967524699836073</v>
      </c>
      <c r="H8" s="12" t="s">
        <v>24</v>
      </c>
      <c r="I8" s="12">
        <v>22.967524699836073</v>
      </c>
    </row>
    <row r="9" spans="1:13">
      <c r="E9" s="11" t="s">
        <v>318</v>
      </c>
      <c r="F9" s="12" t="s">
        <v>24</v>
      </c>
      <c r="G9" s="12">
        <v>20.445859872611464</v>
      </c>
      <c r="H9" s="12" t="s">
        <v>24</v>
      </c>
      <c r="I9" s="12">
        <v>20.445859872611464</v>
      </c>
    </row>
    <row r="10" spans="1:13">
      <c r="A10" s="64" t="s">
        <v>366</v>
      </c>
      <c r="B10" s="64"/>
      <c r="E10" s="11" t="s">
        <v>89</v>
      </c>
      <c r="F10" s="12" t="s">
        <v>24</v>
      </c>
      <c r="G10" s="12">
        <v>20.241060666934512</v>
      </c>
      <c r="H10" s="12" t="s">
        <v>24</v>
      </c>
      <c r="I10" s="12">
        <v>20.241060666934512</v>
      </c>
      <c r="L10" s="28"/>
      <c r="M10" s="28"/>
    </row>
    <row r="11" spans="1:13">
      <c r="A11" s="10" t="s">
        <v>364</v>
      </c>
      <c r="B11" s="11" t="s">
        <v>365</v>
      </c>
      <c r="E11" s="11" t="s">
        <v>61</v>
      </c>
      <c r="F11" s="12">
        <v>19.548583208133888</v>
      </c>
      <c r="G11" s="12" t="s">
        <v>24</v>
      </c>
      <c r="H11" s="12" t="s">
        <v>24</v>
      </c>
      <c r="I11" s="12">
        <v>19.548583208133888</v>
      </c>
    </row>
    <row r="12" spans="1:13">
      <c r="A12" s="11" t="s">
        <v>23</v>
      </c>
      <c r="B12" s="12">
        <v>197.16923076923078</v>
      </c>
      <c r="E12" s="11" t="s">
        <v>196</v>
      </c>
      <c r="F12" s="12" t="s">
        <v>24</v>
      </c>
      <c r="G12" s="12" t="s">
        <v>24</v>
      </c>
      <c r="H12" s="12">
        <v>19.390491670052825</v>
      </c>
      <c r="I12" s="12">
        <v>19.390491670052825</v>
      </c>
    </row>
    <row r="13" spans="1:13">
      <c r="A13" s="11" t="s">
        <v>30</v>
      </c>
      <c r="B13" s="12">
        <v>171.87878787878788</v>
      </c>
      <c r="E13" s="11" t="s">
        <v>287</v>
      </c>
      <c r="F13" s="12" t="s">
        <v>24</v>
      </c>
      <c r="G13" s="12" t="s">
        <v>24</v>
      </c>
      <c r="H13" s="12">
        <v>19.261223173659133</v>
      </c>
      <c r="I13" s="12">
        <v>19.261223173659133</v>
      </c>
    </row>
    <row r="14" spans="1:13">
      <c r="A14" s="11" t="s">
        <v>19</v>
      </c>
      <c r="B14" s="12">
        <v>190.71929824561403</v>
      </c>
      <c r="E14" s="11" t="s">
        <v>175</v>
      </c>
      <c r="F14" s="12" t="s">
        <v>24</v>
      </c>
      <c r="G14" s="12">
        <v>18.723441538528935</v>
      </c>
      <c r="H14" s="12" t="s">
        <v>24</v>
      </c>
      <c r="I14" s="12">
        <v>18.723441538528935</v>
      </c>
    </row>
    <row r="15" spans="1:13">
      <c r="A15" s="11" t="s">
        <v>18</v>
      </c>
      <c r="B15" s="12">
        <v>191.78481012658227</v>
      </c>
      <c r="E15" s="11" t="s">
        <v>107</v>
      </c>
      <c r="F15" s="12" t="s">
        <v>24</v>
      </c>
      <c r="G15" s="12">
        <v>18.517978620019438</v>
      </c>
      <c r="H15" s="12" t="s">
        <v>24</v>
      </c>
      <c r="I15" s="12">
        <v>18.517978620019438</v>
      </c>
    </row>
    <row r="18" spans="1:8">
      <c r="A18" s="65" t="s">
        <v>367</v>
      </c>
      <c r="B18" s="65"/>
      <c r="C18" s="65"/>
      <c r="D18" s="65"/>
      <c r="F18" s="64" t="s">
        <v>378</v>
      </c>
      <c r="G18" s="64"/>
      <c r="H18" s="64"/>
    </row>
    <row r="19" spans="1:8">
      <c r="A19" s="7" t="s">
        <v>1</v>
      </c>
      <c r="B19" s="8" t="s">
        <v>406</v>
      </c>
      <c r="C19" s="8" t="s">
        <v>415</v>
      </c>
      <c r="D19" s="8" t="s">
        <v>416</v>
      </c>
      <c r="F19" s="10" t="s">
        <v>364</v>
      </c>
      <c r="G19" s="11" t="s">
        <v>414</v>
      </c>
      <c r="H19" s="32" t="s">
        <v>377</v>
      </c>
    </row>
    <row r="20" spans="1:8" ht="15">
      <c r="A20" s="8" t="s">
        <v>27</v>
      </c>
      <c r="B20" s="9">
        <v>450295</v>
      </c>
      <c r="C20" s="9">
        <v>45498</v>
      </c>
      <c r="D20" s="9">
        <v>31577</v>
      </c>
      <c r="F20" s="11" t="s">
        <v>18</v>
      </c>
      <c r="G20" s="12">
        <v>9.1045014523479164</v>
      </c>
      <c r="H20" s="33">
        <f>RANK(G20,$G$20:G$27,0)+COUNTIF($G$20:G20,G20)-1</f>
        <v>1</v>
      </c>
    </row>
    <row r="21" spans="1:8" ht="15">
      <c r="A21" s="8" t="s">
        <v>15</v>
      </c>
      <c r="B21" s="9">
        <v>249590</v>
      </c>
      <c r="C21" s="9">
        <v>28853</v>
      </c>
      <c r="D21" s="9">
        <v>20421</v>
      </c>
      <c r="F21" s="11" t="s">
        <v>19</v>
      </c>
      <c r="G21" s="12">
        <v>9.1045014523479164</v>
      </c>
      <c r="H21" s="33">
        <f>RANK(G21,$G$20:G$27,0)+COUNTIF($G$20:G21,G21)-1</f>
        <v>2</v>
      </c>
    </row>
    <row r="22" spans="1:8" ht="15">
      <c r="A22" s="8" t="s">
        <v>34</v>
      </c>
      <c r="B22" s="9">
        <v>195407</v>
      </c>
      <c r="C22" s="9">
        <v>18618</v>
      </c>
      <c r="D22" s="9">
        <v>14671</v>
      </c>
      <c r="F22" s="11" t="s">
        <v>30</v>
      </c>
      <c r="G22" s="12">
        <v>8.5816035271570534</v>
      </c>
      <c r="H22" s="33">
        <f>RANK(G22,$G$20:G$27,0)+COUNTIF($G$20:G22,G22)-1</f>
        <v>3</v>
      </c>
    </row>
    <row r="23" spans="1:8" ht="15">
      <c r="A23"/>
      <c r="B23"/>
      <c r="C23"/>
      <c r="D23"/>
      <c r="F23" s="11" t="s">
        <v>19</v>
      </c>
      <c r="G23" s="12">
        <v>8.5816035271570534</v>
      </c>
      <c r="H23" s="33">
        <f>RANK(G23,$G$20:G$27,0)+COUNTIF($G$20:G23,G23)-1</f>
        <v>4</v>
      </c>
    </row>
    <row r="24" spans="1:8" ht="15">
      <c r="A24"/>
      <c r="B24"/>
      <c r="C24"/>
      <c r="D24"/>
      <c r="F24" s="11" t="s">
        <v>23</v>
      </c>
      <c r="G24" s="12">
        <v>8.0861651899369367</v>
      </c>
      <c r="H24" s="33">
        <f>RANK(G24,$G$20:G$27,0)+COUNTIF($G$20:G24,G24)-1</f>
        <v>6</v>
      </c>
    </row>
    <row r="25" spans="1:8" ht="15">
      <c r="A25"/>
      <c r="B25"/>
      <c r="C25"/>
      <c r="D25"/>
      <c r="F25" s="11" t="s">
        <v>30</v>
      </c>
      <c r="G25" s="12">
        <v>7.8251377635689972</v>
      </c>
      <c r="H25" s="33">
        <f>RANK(G25,$G$20:G$27,0)+COUNTIF($G$20:G25,G25)-1</f>
        <v>8</v>
      </c>
    </row>
    <row r="26" spans="1:8" ht="15">
      <c r="A26"/>
      <c r="B26"/>
      <c r="C26"/>
      <c r="D26"/>
      <c r="F26" s="11" t="s">
        <v>18</v>
      </c>
      <c r="G26" s="12">
        <v>8.5733875915526401</v>
      </c>
      <c r="H26" s="33">
        <f>RANK(G26,$G$20:G$27,0)+COUNTIF($G$20:G26,G26)-1</f>
        <v>5</v>
      </c>
    </row>
    <row r="27" spans="1:8" ht="15">
      <c r="A27"/>
      <c r="B27"/>
      <c r="C27"/>
      <c r="D27"/>
      <c r="F27" s="11" t="s">
        <v>36</v>
      </c>
      <c r="G27" s="12">
        <v>7.959959615086964</v>
      </c>
      <c r="H27" s="33">
        <f>RANK(G27,$G$20:G$27,0)+COUNTIF($G$20:G27,G27)-1</f>
        <v>7</v>
      </c>
    </row>
    <row r="28" spans="1:8">
      <c r="A28"/>
      <c r="B28"/>
      <c r="C28"/>
      <c r="D28"/>
    </row>
    <row r="39" spans="7:7">
      <c r="G39" s="34"/>
    </row>
  </sheetData>
  <autoFilter ref="F19:H27" xr:uid="{D52F8230-4C9E-41DB-BCB8-166774E4E2C7}"/>
  <mergeCells count="5">
    <mergeCell ref="A3:B3"/>
    <mergeCell ref="F18:H18"/>
    <mergeCell ref="A18:D18"/>
    <mergeCell ref="A10:B10"/>
    <mergeCell ref="E3:I3"/>
  </mergeCell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82C8-A5E5-4160-9D45-99C47D597033}">
  <dimension ref="A1:I10"/>
  <sheetViews>
    <sheetView workbookViewId="0">
      <selection activeCell="C2" sqref="C2"/>
    </sheetView>
  </sheetViews>
  <sheetFormatPr defaultRowHeight="14.4"/>
  <cols>
    <col min="1" max="1" width="10.77734375" bestFit="1" customWidth="1"/>
    <col min="2" max="2" width="15.88671875" bestFit="1" customWidth="1"/>
    <col min="3" max="3" width="20.33203125" bestFit="1" customWidth="1"/>
    <col min="4" max="4" width="11.44140625" bestFit="1" customWidth="1"/>
    <col min="5" max="6" width="17.33203125" bestFit="1" customWidth="1"/>
    <col min="7" max="7" width="10.77734375" bestFit="1" customWidth="1"/>
    <col min="8" max="8" width="14.44140625" bestFit="1" customWidth="1"/>
    <col min="9" max="9" width="21.33203125" bestFit="1" customWidth="1"/>
  </cols>
  <sheetData>
    <row r="1" spans="1:9">
      <c r="A1" s="55" t="s">
        <v>454</v>
      </c>
    </row>
    <row r="4" spans="1:9">
      <c r="A4" s="66" t="s">
        <v>374</v>
      </c>
      <c r="B4" s="66"/>
      <c r="D4" s="66" t="s">
        <v>376</v>
      </c>
      <c r="E4" s="66"/>
      <c r="G4" s="66" t="s">
        <v>450</v>
      </c>
      <c r="H4" s="66"/>
      <c r="I4" s="66"/>
    </row>
    <row r="5" spans="1:9">
      <c r="A5" s="4" t="s">
        <v>1</v>
      </c>
      <c r="B5" t="s">
        <v>373</v>
      </c>
      <c r="D5" s="4" t="s">
        <v>1</v>
      </c>
      <c r="E5" t="s">
        <v>375</v>
      </c>
      <c r="H5" s="4" t="s">
        <v>379</v>
      </c>
    </row>
    <row r="6" spans="1:9">
      <c r="A6" s="5" t="s">
        <v>27</v>
      </c>
      <c r="B6" s="6">
        <v>0.34492968171724642</v>
      </c>
      <c r="D6" s="5" t="s">
        <v>27</v>
      </c>
      <c r="E6" s="6">
        <v>0.34373839641557541</v>
      </c>
      <c r="G6" s="4" t="s">
        <v>1</v>
      </c>
      <c r="H6" t="s">
        <v>380</v>
      </c>
      <c r="I6" t="s">
        <v>381</v>
      </c>
    </row>
    <row r="7" spans="1:9">
      <c r="A7" s="5" t="s">
        <v>34</v>
      </c>
      <c r="B7" s="6">
        <v>0.33155388077667858</v>
      </c>
      <c r="D7" s="5" t="s">
        <v>34</v>
      </c>
      <c r="E7" s="6">
        <v>0.34040894125801419</v>
      </c>
      <c r="G7" s="5" t="s">
        <v>15</v>
      </c>
      <c r="H7" s="1">
        <v>1035942</v>
      </c>
      <c r="I7" s="1">
        <v>432.70000000000016</v>
      </c>
    </row>
    <row r="8" spans="1:9">
      <c r="A8" s="5" t="s">
        <v>15</v>
      </c>
      <c r="B8" s="6">
        <v>0.32351643750607489</v>
      </c>
      <c r="D8" s="5" t="s">
        <v>15</v>
      </c>
      <c r="E8" s="6">
        <v>0.31585266232641035</v>
      </c>
      <c r="G8" s="5" t="s">
        <v>27</v>
      </c>
      <c r="H8" s="1">
        <v>1114204</v>
      </c>
      <c r="I8" s="1">
        <v>461.34</v>
      </c>
    </row>
    <row r="9" spans="1:9">
      <c r="A9" s="5" t="s">
        <v>362</v>
      </c>
      <c r="B9" s="6">
        <v>1</v>
      </c>
      <c r="D9" s="5" t="s">
        <v>362</v>
      </c>
      <c r="E9" s="6">
        <v>1</v>
      </c>
      <c r="G9" s="5" t="s">
        <v>34</v>
      </c>
      <c r="H9" s="1">
        <v>1065782</v>
      </c>
      <c r="I9" s="1">
        <v>443.44999999999993</v>
      </c>
    </row>
    <row r="10" spans="1:9">
      <c r="G10" s="5" t="s">
        <v>362</v>
      </c>
      <c r="H10" s="1">
        <v>3215928</v>
      </c>
      <c r="I10" s="1">
        <v>1337.4900000000002</v>
      </c>
    </row>
  </sheetData>
  <mergeCells count="3">
    <mergeCell ref="A4:B4"/>
    <mergeCell ref="D4:E4"/>
    <mergeCell ref="G4:I4"/>
  </mergeCell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A4E9-A55A-48AF-AB99-772F41C15024}">
  <dimension ref="A1:K32"/>
  <sheetViews>
    <sheetView workbookViewId="0">
      <selection activeCell="C17" sqref="C17"/>
    </sheetView>
  </sheetViews>
  <sheetFormatPr defaultRowHeight="14.4"/>
  <cols>
    <col min="1" max="2" width="21.5546875" style="8" bestFit="1" customWidth="1"/>
    <col min="3" max="3" width="12" style="8" bestFit="1" customWidth="1"/>
    <col min="4" max="4" width="14.77734375" style="8" bestFit="1" customWidth="1"/>
    <col min="5" max="5" width="17.77734375" style="8" bestFit="1" customWidth="1"/>
    <col min="6" max="6" width="12" style="8" bestFit="1" customWidth="1"/>
    <col min="7" max="7" width="21.33203125" style="8" customWidth="1"/>
    <col min="8" max="11" width="12" style="8" bestFit="1" customWidth="1"/>
    <col min="12" max="12" width="13.21875" style="8" bestFit="1" customWidth="1"/>
    <col min="13" max="13" width="10.77734375" style="8" bestFit="1" customWidth="1"/>
    <col min="14" max="16384" width="8.88671875" style="8"/>
  </cols>
  <sheetData>
    <row r="1" spans="1:11">
      <c r="A1" s="55" t="s">
        <v>453</v>
      </c>
    </row>
    <row r="3" spans="1:11">
      <c r="A3" s="67" t="s">
        <v>399</v>
      </c>
      <c r="B3" s="67"/>
      <c r="D3" s="64" t="s">
        <v>401</v>
      </c>
      <c r="E3" s="64"/>
      <c r="F3" s="64"/>
      <c r="G3" s="64"/>
    </row>
    <row r="4" spans="1:11">
      <c r="A4" s="10" t="s">
        <v>382</v>
      </c>
      <c r="B4" s="11" t="s">
        <v>398</v>
      </c>
      <c r="D4" s="10" t="s">
        <v>402</v>
      </c>
      <c r="E4" s="10" t="s">
        <v>400</v>
      </c>
      <c r="F4" s="11"/>
      <c r="G4" s="11"/>
      <c r="H4" s="30"/>
    </row>
    <row r="5" spans="1:11">
      <c r="A5" s="11" t="s">
        <v>23</v>
      </c>
      <c r="B5" s="27">
        <v>8.0861651899369367</v>
      </c>
      <c r="D5" s="10" t="s">
        <v>382</v>
      </c>
      <c r="E5" s="44" t="s">
        <v>15</v>
      </c>
      <c r="F5" s="44" t="s">
        <v>27</v>
      </c>
      <c r="G5" s="44" t="s">
        <v>34</v>
      </c>
      <c r="H5" s="30"/>
    </row>
    <row r="6" spans="1:11">
      <c r="A6" s="11" t="s">
        <v>30</v>
      </c>
      <c r="B6" s="27">
        <v>7.8251377635689972</v>
      </c>
      <c r="D6" s="11" t="s">
        <v>57</v>
      </c>
      <c r="E6" s="27" t="s">
        <v>24</v>
      </c>
      <c r="F6" s="27" t="s">
        <v>24</v>
      </c>
      <c r="G6" s="27">
        <v>8.5733875915526401</v>
      </c>
      <c r="H6" s="30"/>
    </row>
    <row r="7" spans="1:11">
      <c r="A7" s="11" t="s">
        <v>18</v>
      </c>
      <c r="B7" s="27">
        <v>8.5733875915526401</v>
      </c>
      <c r="D7" s="11" t="s">
        <v>28</v>
      </c>
      <c r="E7" s="27">
        <v>8.7200689618514318</v>
      </c>
      <c r="F7" s="27">
        <v>8.6321495764776994</v>
      </c>
      <c r="G7" s="27" t="s">
        <v>24</v>
      </c>
      <c r="H7" s="30"/>
    </row>
    <row r="8" spans="1:11">
      <c r="A8" s="11" t="s">
        <v>36</v>
      </c>
      <c r="B8" s="27">
        <v>7.959959615086964</v>
      </c>
      <c r="D8" s="11" t="s">
        <v>16</v>
      </c>
      <c r="E8" s="27">
        <v>8.4006311378380367</v>
      </c>
      <c r="F8" s="27">
        <v>8.5286185633727314</v>
      </c>
      <c r="G8" s="27">
        <v>7.959959615086964</v>
      </c>
      <c r="H8" s="30"/>
    </row>
    <row r="9" spans="1:11">
      <c r="A9" s="11" t="s">
        <v>30</v>
      </c>
      <c r="B9" s="27">
        <v>8.5816035271570534</v>
      </c>
      <c r="D9" s="30"/>
      <c r="E9" s="30"/>
      <c r="F9" s="30"/>
      <c r="G9" s="30"/>
      <c r="H9" s="30"/>
    </row>
    <row r="10" spans="1:11">
      <c r="A10" s="11" t="s">
        <v>19</v>
      </c>
      <c r="B10" s="27">
        <v>8.5816035271570534</v>
      </c>
      <c r="D10" s="30"/>
      <c r="E10" s="30"/>
    </row>
    <row r="11" spans="1:11">
      <c r="A11" s="11" t="s">
        <v>18</v>
      </c>
      <c r="B11" s="27">
        <v>9.1045014523479164</v>
      </c>
      <c r="D11" s="30"/>
      <c r="E11" s="30"/>
    </row>
    <row r="12" spans="1:11">
      <c r="A12" s="11" t="s">
        <v>19</v>
      </c>
      <c r="B12" s="27">
        <v>9.1045014523479164</v>
      </c>
      <c r="D12" s="30"/>
      <c r="E12" s="30"/>
    </row>
    <row r="13" spans="1:11">
      <c r="D13" s="30"/>
      <c r="E13" s="30"/>
    </row>
    <row r="14" spans="1:11">
      <c r="A14" s="67" t="s">
        <v>451</v>
      </c>
      <c r="B14" s="67"/>
      <c r="C14" s="67"/>
      <c r="D14" s="67"/>
      <c r="E14" s="30"/>
    </row>
    <row r="15" spans="1:11">
      <c r="A15" s="52" t="s">
        <v>398</v>
      </c>
      <c r="B15" s="52" t="s">
        <v>400</v>
      </c>
      <c r="C15" s="53"/>
      <c r="D15" s="53"/>
      <c r="E15"/>
      <c r="F15"/>
      <c r="G15"/>
      <c r="H15"/>
      <c r="I15"/>
      <c r="J15"/>
      <c r="K15"/>
    </row>
    <row r="16" spans="1:11">
      <c r="A16" s="52" t="s">
        <v>382</v>
      </c>
      <c r="B16" s="53" t="s">
        <v>57</v>
      </c>
      <c r="C16" s="53" t="s">
        <v>28</v>
      </c>
      <c r="D16" s="53" t="s">
        <v>16</v>
      </c>
      <c r="E16"/>
      <c r="F16"/>
      <c r="G16"/>
      <c r="H16"/>
      <c r="I16"/>
      <c r="J16"/>
      <c r="K16"/>
    </row>
    <row r="17" spans="1:11">
      <c r="A17" s="43" t="s">
        <v>15</v>
      </c>
      <c r="B17" s="54" t="s">
        <v>24</v>
      </c>
      <c r="C17" s="54">
        <v>8.7200689618514318</v>
      </c>
      <c r="D17" s="54">
        <v>8.4006311378380367</v>
      </c>
      <c r="E17"/>
      <c r="F17"/>
      <c r="G17"/>
      <c r="H17"/>
      <c r="I17"/>
      <c r="J17"/>
      <c r="K17"/>
    </row>
    <row r="18" spans="1:11">
      <c r="A18" s="43" t="s">
        <v>27</v>
      </c>
      <c r="B18" s="54" t="s">
        <v>24</v>
      </c>
      <c r="C18" s="54">
        <v>8.6321495764776994</v>
      </c>
      <c r="D18" s="54">
        <v>8.5286185633727314</v>
      </c>
      <c r="E18"/>
      <c r="F18"/>
      <c r="G18"/>
      <c r="H18"/>
      <c r="I18"/>
      <c r="J18"/>
      <c r="K18"/>
    </row>
    <row r="19" spans="1:11">
      <c r="A19" s="43" t="s">
        <v>34</v>
      </c>
      <c r="B19" s="54">
        <v>8.5733875915526401</v>
      </c>
      <c r="C19" s="54" t="s">
        <v>24</v>
      </c>
      <c r="D19" s="54">
        <v>7.959959615086964</v>
      </c>
      <c r="E19"/>
    </row>
    <row r="20" spans="1:11">
      <c r="A20" s="43" t="s">
        <v>362</v>
      </c>
      <c r="B20" s="54">
        <v>8.5733875915526401</v>
      </c>
      <c r="C20" s="54">
        <v>8.6489153351478656</v>
      </c>
      <c r="D20" s="54">
        <v>8.3459327064532971</v>
      </c>
      <c r="E20"/>
    </row>
    <row r="21" spans="1:11">
      <c r="A21"/>
      <c r="B21"/>
      <c r="C21" s="30"/>
    </row>
    <row r="22" spans="1:11">
      <c r="A22"/>
      <c r="B22"/>
      <c r="C22" s="30"/>
    </row>
    <row r="23" spans="1:11">
      <c r="A23"/>
      <c r="B23"/>
      <c r="C23" s="30"/>
    </row>
    <row r="24" spans="1:11">
      <c r="A24"/>
      <c r="B24"/>
      <c r="C24" s="30"/>
    </row>
    <row r="25" spans="1:11">
      <c r="A25"/>
      <c r="B25"/>
      <c r="C25" s="30"/>
    </row>
    <row r="26" spans="1:11">
      <c r="A26" s="30"/>
      <c r="B26" s="30"/>
      <c r="C26" s="30"/>
    </row>
    <row r="27" spans="1:11">
      <c r="A27" s="30"/>
      <c r="B27" s="30"/>
      <c r="C27" s="30"/>
    </row>
    <row r="28" spans="1:11">
      <c r="A28" s="30"/>
      <c r="B28" s="30"/>
      <c r="C28" s="30"/>
    </row>
    <row r="29" spans="1:11">
      <c r="A29" s="30"/>
      <c r="B29" s="30"/>
      <c r="C29" s="30"/>
    </row>
    <row r="30" spans="1:11">
      <c r="A30" s="30"/>
      <c r="B30" s="30"/>
      <c r="C30" s="30"/>
    </row>
    <row r="31" spans="1:11">
      <c r="A31" s="30"/>
      <c r="B31" s="30"/>
      <c r="C31" s="30"/>
    </row>
    <row r="32" spans="1:11">
      <c r="A32" s="30"/>
      <c r="B32" s="30"/>
      <c r="C32" s="30"/>
    </row>
  </sheetData>
  <mergeCells count="3">
    <mergeCell ref="A3:B3"/>
    <mergeCell ref="D3:G3"/>
    <mergeCell ref="A14:D14"/>
  </mergeCells>
  <conditionalFormatting pivot="1" sqref="C19">
    <cfRule type="colorScale" priority="2">
      <colorScale>
        <cfvo type="min"/>
        <cfvo type="percentile" val="50"/>
        <cfvo type="max"/>
        <color rgb="FFF8696B"/>
        <color rgb="FFFFEB84"/>
        <color rgb="FF63BE7B"/>
      </colorScale>
    </cfRule>
  </conditionalFormatting>
  <conditionalFormatting pivot="1" sqref="B17:D1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01E06-456B-427A-ADBB-32B9927C05CA}">
  <dimension ref="A1:J20"/>
  <sheetViews>
    <sheetView workbookViewId="0">
      <selection activeCell="N6" sqref="N6"/>
    </sheetView>
  </sheetViews>
  <sheetFormatPr defaultRowHeight="14.4"/>
  <cols>
    <col min="1" max="1" width="12.5546875" bestFit="1" customWidth="1"/>
    <col min="2" max="2" width="15.44140625" bestFit="1" customWidth="1"/>
    <col min="3" max="4" width="11.21875" bestFit="1" customWidth="1"/>
    <col min="5" max="5" width="8" bestFit="1" customWidth="1"/>
    <col min="6" max="6" width="10.33203125" bestFit="1" customWidth="1"/>
    <col min="7" max="7" width="13.109375" bestFit="1" customWidth="1"/>
    <col min="9" max="9" width="12.77734375" bestFit="1" customWidth="1"/>
    <col min="10" max="10" width="18.44140625" bestFit="1" customWidth="1"/>
  </cols>
  <sheetData>
    <row r="1" spans="1:10">
      <c r="A1" s="55" t="s">
        <v>452</v>
      </c>
    </row>
    <row r="4" spans="1:10">
      <c r="A4" s="68" t="s">
        <v>408</v>
      </c>
      <c r="B4" s="68"/>
      <c r="C4" s="68"/>
      <c r="D4" s="68"/>
      <c r="E4" s="68"/>
      <c r="F4" s="68"/>
      <c r="G4" s="68"/>
      <c r="I4" s="66" t="s">
        <v>420</v>
      </c>
      <c r="J4" s="66"/>
    </row>
    <row r="5" spans="1:10">
      <c r="A5" s="35" t="s">
        <v>423</v>
      </c>
      <c r="B5" s="36" t="s">
        <v>403</v>
      </c>
      <c r="C5" s="36" t="s">
        <v>404</v>
      </c>
      <c r="D5" s="36" t="s">
        <v>406</v>
      </c>
      <c r="E5" s="36" t="s">
        <v>407</v>
      </c>
      <c r="F5" s="36" t="s">
        <v>405</v>
      </c>
      <c r="G5" s="36" t="s">
        <v>417</v>
      </c>
      <c r="I5" s="42" t="s">
        <v>422</v>
      </c>
      <c r="J5" s="14" t="s">
        <v>419</v>
      </c>
    </row>
    <row r="6" spans="1:10">
      <c r="A6" s="37" t="s">
        <v>20</v>
      </c>
      <c r="B6" s="40">
        <v>6303109</v>
      </c>
      <c r="C6" s="39">
        <v>41196.790849673205</v>
      </c>
      <c r="D6" s="40">
        <v>469151</v>
      </c>
      <c r="E6" s="39">
        <v>3066.3464052287582</v>
      </c>
      <c r="F6" s="40">
        <v>28438</v>
      </c>
      <c r="G6" s="39">
        <v>185.86928104575162</v>
      </c>
      <c r="I6" s="43" t="s">
        <v>15</v>
      </c>
      <c r="J6" s="29">
        <v>3.4025883963574919</v>
      </c>
    </row>
    <row r="7" spans="1:10">
      <c r="A7" s="37" t="s">
        <v>25</v>
      </c>
      <c r="B7" s="40">
        <v>4039305</v>
      </c>
      <c r="C7" s="39">
        <v>42971.329787234041</v>
      </c>
      <c r="D7" s="40">
        <v>274455</v>
      </c>
      <c r="E7" s="39">
        <v>2919.7340425531916</v>
      </c>
      <c r="F7" s="40">
        <v>18717</v>
      </c>
      <c r="G7" s="39">
        <v>199.11702127659575</v>
      </c>
      <c r="I7" s="43" t="s">
        <v>34</v>
      </c>
      <c r="J7" s="29">
        <v>3.3819656419901469</v>
      </c>
    </row>
    <row r="8" spans="1:10">
      <c r="A8" s="37" t="s">
        <v>58</v>
      </c>
      <c r="B8" s="40">
        <v>1233853</v>
      </c>
      <c r="C8" s="39">
        <v>42546.65517241379</v>
      </c>
      <c r="D8" s="40">
        <v>89871</v>
      </c>
      <c r="E8" s="39">
        <v>3099</v>
      </c>
      <c r="F8" s="40">
        <v>5557</v>
      </c>
      <c r="G8" s="39">
        <v>191.62068965517241</v>
      </c>
      <c r="I8" s="43" t="s">
        <v>27</v>
      </c>
      <c r="J8" s="29">
        <v>3.3716158620940009</v>
      </c>
    </row>
    <row r="9" spans="1:10">
      <c r="A9" s="37" t="s">
        <v>55</v>
      </c>
      <c r="B9" s="40">
        <v>865406</v>
      </c>
      <c r="C9" s="39">
        <v>37626.34782608696</v>
      </c>
      <c r="D9" s="40">
        <v>61815</v>
      </c>
      <c r="E9" s="39">
        <v>2687.608695652174</v>
      </c>
      <c r="F9" s="40">
        <v>4614</v>
      </c>
      <c r="G9" s="39">
        <v>200.60869565217391</v>
      </c>
    </row>
    <row r="13" spans="1:10">
      <c r="A13" s="30"/>
      <c r="B13" s="30"/>
      <c r="C13" s="30"/>
      <c r="D13" s="30"/>
    </row>
    <row r="14" spans="1:10">
      <c r="A14" s="30"/>
      <c r="B14" s="30"/>
      <c r="C14" s="30"/>
      <c r="D14" s="30"/>
    </row>
    <row r="15" spans="1:10">
      <c r="A15" s="30"/>
      <c r="B15" s="30"/>
      <c r="C15" s="30"/>
      <c r="D15" s="30"/>
    </row>
    <row r="16" spans="1:10" ht="28.8">
      <c r="A16" s="4" t="s">
        <v>382</v>
      </c>
      <c r="B16" s="60" t="s">
        <v>445</v>
      </c>
      <c r="C16" t="s">
        <v>446</v>
      </c>
      <c r="D16" t="s">
        <v>447</v>
      </c>
      <c r="E16" t="s">
        <v>448</v>
      </c>
    </row>
    <row r="17" spans="1:5">
      <c r="A17" s="43" t="s">
        <v>20</v>
      </c>
      <c r="B17" s="50">
        <v>10.078571652547229</v>
      </c>
      <c r="C17" s="50">
        <v>9.3821799320344113</v>
      </c>
      <c r="D17" s="50">
        <v>9.3109914611178137</v>
      </c>
      <c r="E17" s="51">
        <v>0.51179461196546039</v>
      </c>
    </row>
    <row r="18" spans="1:5">
      <c r="A18" s="43" t="s">
        <v>25</v>
      </c>
      <c r="B18" s="50">
        <v>9.3114925117736131</v>
      </c>
      <c r="C18" s="50">
        <v>9.3768592204732606</v>
      </c>
      <c r="D18" s="50">
        <v>9.6644774750074376</v>
      </c>
      <c r="E18" s="51">
        <v>0.31410727409526812</v>
      </c>
    </row>
    <row r="19" spans="1:5">
      <c r="A19" s="43" t="s">
        <v>58</v>
      </c>
      <c r="B19" s="50">
        <v>9.479919988464788</v>
      </c>
      <c r="C19" s="50">
        <v>9.3213709940974887</v>
      </c>
      <c r="D19" s="50">
        <v>9.1645526938415784</v>
      </c>
      <c r="E19" s="51">
        <v>9.6093988270383623E-2</v>
      </c>
    </row>
    <row r="20" spans="1:5">
      <c r="A20" s="43" t="s">
        <v>55</v>
      </c>
      <c r="B20" s="50">
        <v>10.155128899635054</v>
      </c>
      <c r="C20" s="50">
        <v>9.4188000632567874</v>
      </c>
      <c r="D20" s="50">
        <v>9.5445333419974148</v>
      </c>
      <c r="E20" s="51">
        <v>7.6928631450759413E-2</v>
      </c>
    </row>
  </sheetData>
  <mergeCells count="2">
    <mergeCell ref="A4:G4"/>
    <mergeCell ref="I4:J4"/>
  </mergeCells>
  <pageMargins left="0.7" right="0.7" top="0.75" bottom="0.75" header="0.3" footer="0.3"/>
  <pageSetup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DA369-7386-4742-A04A-E503732720A5}">
  <dimension ref="A1:L34"/>
  <sheetViews>
    <sheetView zoomScaleNormal="100" workbookViewId="0">
      <selection activeCell="B29" sqref="B29"/>
    </sheetView>
  </sheetViews>
  <sheetFormatPr defaultRowHeight="14.4"/>
  <cols>
    <col min="1" max="1" width="29.77734375" style="8" bestFit="1" customWidth="1"/>
    <col min="2" max="2" width="24" style="8" bestFit="1" customWidth="1"/>
    <col min="3" max="3" width="25" style="8" bestFit="1" customWidth="1"/>
    <col min="4" max="4" width="8.88671875" style="8"/>
    <col min="5" max="5" width="11.44140625" style="8" bestFit="1" customWidth="1"/>
    <col min="6" max="6" width="18.88671875" style="8" bestFit="1" customWidth="1"/>
    <col min="7" max="7" width="10.109375" style="8" bestFit="1" customWidth="1"/>
    <col min="8" max="8" width="25" style="8" bestFit="1" customWidth="1"/>
    <col min="9" max="9" width="16.21875" style="8" bestFit="1" customWidth="1"/>
    <col min="10" max="10" width="6" style="8" bestFit="1" customWidth="1"/>
    <col min="11" max="11" width="8.109375" style="8" customWidth="1"/>
    <col min="12" max="12" width="8" style="8" customWidth="1"/>
    <col min="13" max="16" width="6" style="8" bestFit="1" customWidth="1"/>
    <col min="17" max="17" width="5" style="8" bestFit="1" customWidth="1"/>
    <col min="18" max="19" width="6" style="8" bestFit="1" customWidth="1"/>
    <col min="20" max="20" width="16.21875" style="8" bestFit="1" customWidth="1"/>
    <col min="21" max="31" width="7" style="8" bestFit="1" customWidth="1"/>
    <col min="32" max="32" width="29.88671875" style="8" bestFit="1" customWidth="1"/>
    <col min="33" max="33" width="21" style="8" bestFit="1" customWidth="1"/>
    <col min="34" max="16384" width="8.88671875" style="8"/>
  </cols>
  <sheetData>
    <row r="1" spans="1:12">
      <c r="A1" s="57" t="s">
        <v>456</v>
      </c>
    </row>
    <row r="3" spans="1:12">
      <c r="E3" s="64" t="s">
        <v>444</v>
      </c>
      <c r="F3" s="64"/>
      <c r="G3" s="64"/>
    </row>
    <row r="4" spans="1:12">
      <c r="A4" s="67" t="s">
        <v>427</v>
      </c>
      <c r="B4" s="67"/>
      <c r="E4" s="58" t="s">
        <v>443</v>
      </c>
      <c r="F4" s="59" t="s">
        <v>426</v>
      </c>
      <c r="G4" s="59" t="s">
        <v>442</v>
      </c>
    </row>
    <row r="5" spans="1:12">
      <c r="A5" s="56" t="s">
        <v>425</v>
      </c>
      <c r="B5" s="56" t="s">
        <v>426</v>
      </c>
      <c r="E5" s="11" t="s">
        <v>15</v>
      </c>
      <c r="F5" s="27">
        <v>51038</v>
      </c>
      <c r="G5" s="27">
        <v>1035942</v>
      </c>
    </row>
    <row r="6" spans="1:12">
      <c r="A6" s="11" t="s">
        <v>462</v>
      </c>
      <c r="B6" s="11">
        <v>3576</v>
      </c>
      <c r="E6" s="45" t="s">
        <v>428</v>
      </c>
      <c r="F6" s="27">
        <v>1693</v>
      </c>
      <c r="G6" s="27">
        <v>58855</v>
      </c>
      <c r="K6" s="9"/>
      <c r="L6" s="9"/>
    </row>
    <row r="7" spans="1:12">
      <c r="A7" s="11" t="s">
        <v>465</v>
      </c>
      <c r="B7" s="11">
        <v>3569</v>
      </c>
      <c r="E7" s="45" t="s">
        <v>429</v>
      </c>
      <c r="F7" s="27">
        <v>2752</v>
      </c>
      <c r="G7" s="27">
        <v>57892</v>
      </c>
      <c r="K7" s="9"/>
      <c r="L7" s="9"/>
    </row>
    <row r="8" spans="1:12">
      <c r="A8" s="11" t="s">
        <v>457</v>
      </c>
      <c r="B8" s="11">
        <v>3419</v>
      </c>
      <c r="E8" s="45" t="s">
        <v>430</v>
      </c>
      <c r="F8" s="27">
        <v>3389</v>
      </c>
      <c r="G8" s="27">
        <v>73741</v>
      </c>
      <c r="K8" s="9"/>
      <c r="L8" s="9"/>
    </row>
    <row r="9" spans="1:12">
      <c r="A9" s="11" t="s">
        <v>463</v>
      </c>
      <c r="B9" s="11">
        <v>3291</v>
      </c>
      <c r="E9" s="45" t="s">
        <v>431</v>
      </c>
      <c r="F9" s="27">
        <v>3363</v>
      </c>
      <c r="G9" s="27">
        <v>60108</v>
      </c>
      <c r="K9" s="9"/>
      <c r="L9" s="9"/>
    </row>
    <row r="10" spans="1:12">
      <c r="A10" s="11" t="s">
        <v>466</v>
      </c>
      <c r="B10" s="11">
        <v>3236</v>
      </c>
      <c r="E10" s="45" t="s">
        <v>432</v>
      </c>
      <c r="F10" s="27">
        <v>3468</v>
      </c>
      <c r="G10" s="27">
        <v>61392</v>
      </c>
      <c r="K10" s="9"/>
      <c r="L10" s="9"/>
    </row>
    <row r="11" spans="1:12">
      <c r="A11" s="11" t="s">
        <v>464</v>
      </c>
      <c r="B11" s="11">
        <v>3216</v>
      </c>
      <c r="E11" s="45" t="s">
        <v>433</v>
      </c>
      <c r="F11" s="27">
        <v>6051</v>
      </c>
      <c r="G11" s="27">
        <v>160023</v>
      </c>
      <c r="K11" s="9"/>
      <c r="L11" s="9"/>
    </row>
    <row r="12" spans="1:12">
      <c r="A12" s="11" t="s">
        <v>458</v>
      </c>
      <c r="B12" s="11">
        <v>3175</v>
      </c>
      <c r="E12" s="45" t="s">
        <v>434</v>
      </c>
      <c r="F12" s="27">
        <v>7024</v>
      </c>
      <c r="G12" s="27">
        <v>120585</v>
      </c>
      <c r="K12" s="9"/>
      <c r="L12" s="9"/>
    </row>
    <row r="13" spans="1:12">
      <c r="A13" s="11" t="s">
        <v>459</v>
      </c>
      <c r="B13" s="11">
        <v>3155</v>
      </c>
      <c r="E13" s="45" t="s">
        <v>435</v>
      </c>
      <c r="F13" s="27">
        <v>7117</v>
      </c>
      <c r="G13" s="27">
        <v>107096</v>
      </c>
      <c r="K13" s="9"/>
      <c r="L13" s="9"/>
    </row>
    <row r="14" spans="1:12">
      <c r="A14" s="11" t="s">
        <v>461</v>
      </c>
      <c r="B14" s="11">
        <v>3151</v>
      </c>
      <c r="E14" s="45" t="s">
        <v>436</v>
      </c>
      <c r="F14" s="27">
        <v>5560</v>
      </c>
      <c r="G14" s="27">
        <v>92491</v>
      </c>
      <c r="K14" s="9"/>
      <c r="L14" s="9"/>
    </row>
    <row r="15" spans="1:12">
      <c r="A15" s="11" t="s">
        <v>460</v>
      </c>
      <c r="B15" s="11">
        <v>3072</v>
      </c>
      <c r="E15" s="45" t="s">
        <v>437</v>
      </c>
      <c r="F15" s="27">
        <v>3573</v>
      </c>
      <c r="G15" s="27">
        <v>77141</v>
      </c>
      <c r="K15" s="9"/>
      <c r="L15" s="9"/>
    </row>
    <row r="16" spans="1:12">
      <c r="E16" s="45" t="s">
        <v>438</v>
      </c>
      <c r="F16" s="27">
        <v>3532</v>
      </c>
      <c r="G16" s="27">
        <v>65963</v>
      </c>
      <c r="K16" s="9"/>
      <c r="L16" s="9"/>
    </row>
    <row r="17" spans="1:12">
      <c r="E17" s="45" t="s">
        <v>439</v>
      </c>
      <c r="F17" s="27">
        <v>3516</v>
      </c>
      <c r="G17" s="27">
        <v>100655</v>
      </c>
      <c r="K17" s="9"/>
      <c r="L17" s="9"/>
    </row>
    <row r="18" spans="1:12">
      <c r="E18" s="11" t="s">
        <v>362</v>
      </c>
      <c r="F18" s="27">
        <v>51038</v>
      </c>
      <c r="G18" s="27">
        <v>1035942</v>
      </c>
    </row>
    <row r="20" spans="1:12">
      <c r="A20" s="69" t="s">
        <v>441</v>
      </c>
      <c r="B20" s="69"/>
    </row>
    <row r="21" spans="1:12">
      <c r="A21" s="47" t="s">
        <v>382</v>
      </c>
      <c r="B21" s="49" t="s">
        <v>440</v>
      </c>
    </row>
    <row r="22" spans="1:12">
      <c r="A22" s="45" t="s">
        <v>428</v>
      </c>
      <c r="B22" s="61">
        <v>256182</v>
      </c>
    </row>
    <row r="23" spans="1:12">
      <c r="A23" s="45" t="s">
        <v>429</v>
      </c>
      <c r="B23" s="61">
        <v>242667.83333333334</v>
      </c>
    </row>
    <row r="24" spans="1:12">
      <c r="A24" s="45" t="s">
        <v>430</v>
      </c>
      <c r="B24" s="61">
        <v>227335.6</v>
      </c>
    </row>
    <row r="25" spans="1:12">
      <c r="A25" s="45" t="s">
        <v>431</v>
      </c>
      <c r="B25" s="61">
        <v>292280</v>
      </c>
    </row>
    <row r="26" spans="1:12">
      <c r="A26" s="45" t="s">
        <v>432</v>
      </c>
      <c r="B26" s="61">
        <v>265169.75</v>
      </c>
    </row>
    <row r="27" spans="1:12">
      <c r="A27" s="45" t="s">
        <v>433</v>
      </c>
      <c r="B27" s="61">
        <v>195290.40740740742</v>
      </c>
    </row>
    <row r="28" spans="1:12">
      <c r="A28" s="45" t="s">
        <v>434</v>
      </c>
      <c r="B28" s="61">
        <v>231686.48148148149</v>
      </c>
    </row>
    <row r="29" spans="1:12">
      <c r="A29" s="45" t="s">
        <v>435</v>
      </c>
      <c r="B29" s="61">
        <v>195875.125</v>
      </c>
    </row>
    <row r="30" spans="1:12">
      <c r="A30" s="45" t="s">
        <v>436</v>
      </c>
      <c r="B30" s="61">
        <v>280302.75</v>
      </c>
    </row>
    <row r="31" spans="1:12">
      <c r="A31" s="45" t="s">
        <v>437</v>
      </c>
      <c r="B31" s="61">
        <v>216362.08333333334</v>
      </c>
    </row>
    <row r="32" spans="1:12">
      <c r="A32" s="45" t="s">
        <v>438</v>
      </c>
      <c r="B32" s="61">
        <v>245019</v>
      </c>
    </row>
    <row r="33" spans="1:2">
      <c r="A33" s="45" t="s">
        <v>439</v>
      </c>
      <c r="B33" s="61">
        <v>202944.73333333334</v>
      </c>
    </row>
    <row r="34" spans="1:2">
      <c r="A34" s="48" t="s">
        <v>362</v>
      </c>
      <c r="B34" s="46">
        <v>232509.035</v>
      </c>
    </row>
  </sheetData>
  <mergeCells count="3">
    <mergeCell ref="A20:B20"/>
    <mergeCell ref="E3:G3"/>
    <mergeCell ref="A4:B4"/>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A1B508-EFCF-4E66-9E8C-E52EE5020F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(RAW)Posts</vt:lpstr>
      <vt:lpstr>(RAW)Engagement Summary</vt:lpstr>
      <vt:lpstr>(RAW)Campaign Metadata</vt:lpstr>
      <vt:lpstr>Task 1</vt:lpstr>
      <vt:lpstr>Task 1.1</vt:lpstr>
      <vt:lpstr>Task 1.2</vt:lpstr>
      <vt:lpstr>Task 2</vt:lpstr>
      <vt:lpstr>Task 3</vt:lpstr>
      <vt:lpstr>Task 4</vt:lpstr>
      <vt:lpstr>Task 5</vt:lpstr>
      <vt:lpstr>Task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dc:creator>
  <cp:lastModifiedBy>Lucky kumar</cp:lastModifiedBy>
  <dcterms:created xsi:type="dcterms:W3CDTF">2025-09-22T11:48:02Z</dcterms:created>
  <dcterms:modified xsi:type="dcterms:W3CDTF">2026-02-26T06:16:10Z</dcterms:modified>
</cp:coreProperties>
</file>